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9" min="1" max="1"/>
    <col width="5.14" customWidth="1" style="19" min="2" max="3"/>
    <col width="10" customWidth="1" style="19" min="4" max="4"/>
    <col width="8.710000000000001" customWidth="1" style="19" min="5" max="5"/>
    <col width="6.71" customWidth="1" style="19" min="6" max="6"/>
    <col width="5.14" customWidth="1" style="19" min="7" max="8"/>
    <col width="10" customWidth="1" style="19" min="9" max="10"/>
    <col width="5.29" customWidth="1" style="19" min="11" max="12"/>
    <col width="10" customWidth="1" style="19" min="13" max="13"/>
    <col width="8.710000000000001" customWidth="1" style="19" min="14" max="14"/>
    <col width="6.14" customWidth="1" style="19" min="15" max="15"/>
    <col width="9.140000000000001" customWidth="1" style="19" min="16" max="17"/>
    <col width="10" customWidth="1" style="19" min="18" max="18"/>
    <col width="24.71" customWidth="1" style="19" min="19" max="19"/>
    <col width="3" customWidth="1" style="19" min="20" max="20"/>
    <col width="5.57" customWidth="1" style="19" min="21" max="21"/>
    <col width="10" customWidth="1" style="19" min="22" max="22"/>
    <col width="8.710000000000001" customWidth="1" style="19" min="23" max="23"/>
  </cols>
  <sheetData>
    <row r="1">
      <c r="A1" s="20" t="inlineStr">
        <is>
          <t>Real</t>
        </is>
      </c>
      <c r="B1" s="21" t="n"/>
      <c r="C1" s="21" t="n"/>
      <c r="D1" s="22" t="n"/>
      <c r="E1" s="4" t="n"/>
      <c r="F1" s="20" t="inlineStr">
        <is>
          <t>Dynamic</t>
        </is>
      </c>
      <c r="G1" s="21" t="n"/>
      <c r="H1" s="21" t="n"/>
      <c r="I1" s="22" t="n"/>
      <c r="J1" s="6" t="n"/>
      <c r="K1" s="20" t="inlineStr">
        <is>
          <t>Difference</t>
        </is>
      </c>
      <c r="L1" s="21" t="n"/>
      <c r="M1" s="22" t="n"/>
      <c r="N1" s="4" t="n"/>
      <c r="O1" s="20" t="inlineStr">
        <is>
          <t>Real</t>
        </is>
      </c>
      <c r="P1" s="21" t="n"/>
      <c r="Q1" s="21" t="n"/>
      <c r="R1" s="22" t="n"/>
      <c r="S1" s="4" t="n"/>
      <c r="T1" s="4" t="n"/>
      <c r="U1" s="4" t="n"/>
      <c r="V1" s="20" t="inlineStr">
        <is>
          <t>tcrit - bi-caudal</t>
        </is>
      </c>
      <c r="W1" s="22" t="n"/>
      <c r="X1" s="4" t="n"/>
    </row>
    <row r="2">
      <c r="A2" s="7" t="inlineStr">
        <is>
          <t>run_id</t>
        </is>
      </c>
      <c r="B2" s="7" t="inlineStr">
        <is>
          <t>x(m)</t>
        </is>
      </c>
      <c r="C2" s="7" t="inlineStr">
        <is>
          <t>y(m)</t>
        </is>
      </c>
      <c r="D2" s="7" t="inlineStr">
        <is>
          <t>theta(rad)</t>
        </is>
      </c>
      <c r="E2" s="4" t="n"/>
      <c r="F2" s="7" t="inlineStr">
        <is>
          <t>run_id</t>
        </is>
      </c>
      <c r="G2" s="7" t="inlineStr">
        <is>
          <t>x(m)</t>
        </is>
      </c>
      <c r="H2" s="7" t="inlineStr">
        <is>
          <t>y(m)</t>
        </is>
      </c>
      <c r="I2" s="7" t="inlineStr">
        <is>
          <t>theta(rad)</t>
        </is>
      </c>
      <c r="J2" s="8" t="n"/>
      <c r="K2" s="7" t="inlineStr">
        <is>
          <t>x(m)</t>
        </is>
      </c>
      <c r="L2" s="7" t="inlineStr">
        <is>
          <t>y(m)</t>
        </is>
      </c>
      <c r="M2" s="7" t="inlineStr">
        <is>
          <t>theta(rad)</t>
        </is>
      </c>
      <c r="N2" s="4" t="n"/>
      <c r="O2" s="7" t="n"/>
      <c r="P2" s="7" t="inlineStr">
        <is>
          <t>x(m)</t>
        </is>
      </c>
      <c r="Q2" s="7" t="inlineStr">
        <is>
          <t>y(m)</t>
        </is>
      </c>
      <c r="R2" s="7" t="inlineStr">
        <is>
          <t>theta(rad)</t>
        </is>
      </c>
      <c r="S2" s="4" t="n"/>
      <c r="T2" s="4" t="n"/>
      <c r="U2" s="4" t="n"/>
      <c r="V2" s="9" t="n">
        <v>0.05</v>
      </c>
      <c r="W2" s="9" t="n">
        <v>0.01</v>
      </c>
      <c r="X2" s="4" t="n"/>
    </row>
    <row r="3">
      <c r="A3" s="10" t="n">
        <v>1</v>
      </c>
      <c r="B3" s="11" t="n">
        <v>0.453</v>
      </c>
      <c r="C3" s="11" t="n">
        <v>0.27</v>
      </c>
      <c r="D3" s="11" t="n">
        <v>-0.201</v>
      </c>
      <c r="E3" s="12" t="n"/>
      <c r="F3" s="10" t="n">
        <v>1</v>
      </c>
      <c r="G3" s="13" t="n">
        <v>0.373</v>
      </c>
      <c r="H3" s="13" t="n">
        <v>0.261</v>
      </c>
      <c r="I3" s="13" t="n">
        <v>-0.218</v>
      </c>
      <c r="J3" s="12" t="n"/>
      <c r="K3" s="10">
        <f>B3-G3</f>
        <v/>
      </c>
      <c r="L3" s="10">
        <f>C3-H3</f>
        <v/>
      </c>
      <c r="M3" s="10">
        <f>D3-I3</f>
        <v/>
      </c>
      <c r="N3" s="4" t="n"/>
      <c r="O3" s="13" t="inlineStr">
        <is>
          <t>d</t>
        </is>
      </c>
      <c r="P3" s="14">
        <f>AVERAGE(B3:B52)</f>
        <v/>
      </c>
      <c r="Q3" s="14">
        <f>AVERAGE(C3:C52)</f>
        <v/>
      </c>
      <c r="R3" s="14">
        <f>AVERAGE(D3:D52)</f>
        <v/>
      </c>
      <c r="S3" s="4" t="n"/>
      <c r="T3" s="4" t="n"/>
      <c r="U3" s="15" t="n">
        <v>49</v>
      </c>
      <c r="V3" s="15" t="n">
        <v>2.009</v>
      </c>
      <c r="W3" s="15" t="n">
        <v>2.68</v>
      </c>
      <c r="X3" s="4" t="n"/>
    </row>
    <row r="4">
      <c r="A4" s="10" t="n">
        <v>2</v>
      </c>
      <c r="B4" s="11" t="n">
        <v>0.202</v>
      </c>
      <c r="C4" s="11" t="n">
        <v>0.22</v>
      </c>
      <c r="D4" s="11" t="n">
        <v>-0.163</v>
      </c>
      <c r="E4" s="12" t="n"/>
      <c r="F4" s="10" t="n">
        <v>2</v>
      </c>
      <c r="G4" s="13" t="n">
        <v>0.481</v>
      </c>
      <c r="H4" s="13" t="n">
        <v>0.454</v>
      </c>
      <c r="I4" s="13" t="n">
        <v>-0.21</v>
      </c>
      <c r="J4" s="12" t="n"/>
      <c r="K4" s="10">
        <f>B4-G4</f>
        <v/>
      </c>
      <c r="L4" s="10">
        <f>C4-H4</f>
        <v/>
      </c>
      <c r="M4" s="10">
        <f>D4-I4</f>
        <v/>
      </c>
      <c r="N4" s="4" t="n"/>
      <c r="O4" s="13" t="inlineStr">
        <is>
          <t>sd</t>
        </is>
      </c>
      <c r="P4" s="14">
        <f>_xlfn.STDEV.S(B3:B52)</f>
        <v/>
      </c>
      <c r="Q4" s="14">
        <f>_xlfn.STDEV.S(C3:C52)</f>
        <v/>
      </c>
      <c r="R4" s="14">
        <f>_xlfn.STDEV.S(D3:D52)</f>
        <v/>
      </c>
      <c r="S4" s="4" t="n"/>
      <c r="T4" s="4" t="n"/>
      <c r="U4" s="15" t="n">
        <v>98</v>
      </c>
      <c r="V4" s="15" t="n">
        <v>1.984</v>
      </c>
      <c r="W4" s="15" t="n">
        <v>2.626</v>
      </c>
      <c r="X4" s="4" t="n"/>
    </row>
    <row r="5">
      <c r="A5" s="10" t="n">
        <v>3</v>
      </c>
      <c r="B5" s="11" t="n">
        <v>0.404</v>
      </c>
      <c r="C5" s="11" t="n">
        <v>0.28</v>
      </c>
      <c r="D5" s="11" t="n">
        <v>-0.179</v>
      </c>
      <c r="E5" s="12" t="n"/>
      <c r="F5" s="10" t="n">
        <v>3</v>
      </c>
      <c r="G5" s="13" t="n">
        <v>0.308</v>
      </c>
      <c r="H5" s="13" t="n">
        <v>0.266</v>
      </c>
      <c r="I5" s="13" t="n">
        <v>-0.148</v>
      </c>
      <c r="J5" s="12" t="n"/>
      <c r="K5" s="10">
        <f>B5-G5</f>
        <v/>
      </c>
      <c r="L5" s="10">
        <f>C5-H5</f>
        <v/>
      </c>
      <c r="M5" s="10">
        <f>D5-I5</f>
        <v/>
      </c>
      <c r="N5" s="4" t="n"/>
      <c r="O5" s="13" t="inlineStr">
        <is>
          <t>1sig</t>
        </is>
      </c>
      <c r="P5" s="14">
        <f>P3+P4</f>
        <v/>
      </c>
      <c r="Q5" s="14">
        <f>Q3+Q4</f>
        <v/>
      </c>
      <c r="R5" s="14">
        <f>R3+R4</f>
        <v/>
      </c>
      <c r="S5" s="4" t="n"/>
      <c r="T5" s="4" t="n"/>
      <c r="U5" s="4" t="n"/>
      <c r="V5" s="4" t="n"/>
      <c r="W5" s="4" t="n"/>
      <c r="X5" s="4" t="n"/>
    </row>
    <row r="6">
      <c r="A6" s="10" t="n">
        <v>4</v>
      </c>
      <c r="B6" s="11" t="n">
        <v>0.336</v>
      </c>
      <c r="C6" s="11" t="n">
        <v>0.26</v>
      </c>
      <c r="D6" s="11" t="n">
        <v>-0.156</v>
      </c>
      <c r="E6" s="12" t="n"/>
      <c r="F6" s="10" t="n">
        <v>4</v>
      </c>
      <c r="G6" s="13" t="n">
        <v>0.311</v>
      </c>
      <c r="H6" s="13" t="n">
        <v>0.323</v>
      </c>
      <c r="I6" s="13" t="n">
        <v>-0.147</v>
      </c>
      <c r="J6" s="12" t="n"/>
      <c r="K6" s="10">
        <f>B6-G6</f>
        <v/>
      </c>
      <c r="L6" s="10">
        <f>C6-H6</f>
        <v/>
      </c>
      <c r="M6" s="10">
        <f>D6-I6</f>
        <v/>
      </c>
      <c r="N6" s="4" t="n"/>
      <c r="O6" s="13" t="inlineStr">
        <is>
          <t>-1sig</t>
        </is>
      </c>
      <c r="P6" s="14">
        <f>P3-P4</f>
        <v/>
      </c>
      <c r="Q6" s="14">
        <f>Q3-Q4</f>
        <v/>
      </c>
      <c r="R6" s="14">
        <f>R3-R4</f>
        <v/>
      </c>
      <c r="S6" s="4" t="n"/>
      <c r="T6" s="4" t="n"/>
      <c r="U6" s="4" t="n"/>
      <c r="V6" s="4" t="n"/>
      <c r="W6" s="4" t="n"/>
      <c r="X6" s="4" t="n"/>
    </row>
    <row r="7">
      <c r="A7" s="10" t="n">
        <v>5</v>
      </c>
      <c r="B7" s="11" t="n">
        <v>0.24</v>
      </c>
      <c r="C7" s="11" t="n">
        <v>0.274</v>
      </c>
      <c r="D7" s="11" t="n">
        <v>-0.113</v>
      </c>
      <c r="E7" s="12" t="n"/>
      <c r="F7" s="10" t="n">
        <v>5</v>
      </c>
      <c r="G7" s="13" t="n">
        <v>0.489</v>
      </c>
      <c r="H7" s="13" t="n">
        <v>0.435</v>
      </c>
      <c r="I7" s="13" t="n">
        <v>-0.224</v>
      </c>
      <c r="J7" s="12" t="n"/>
      <c r="K7" s="10">
        <f>B7-G7</f>
        <v/>
      </c>
      <c r="L7" s="10">
        <f>C7-H7</f>
        <v/>
      </c>
      <c r="M7" s="10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10" t="n">
        <v>6</v>
      </c>
      <c r="B8" s="11" t="n">
        <v>0.472</v>
      </c>
      <c r="C8" s="11" t="n">
        <v>0.276</v>
      </c>
      <c r="D8" s="11" t="n">
        <v>-0.226</v>
      </c>
      <c r="E8" s="12" t="n"/>
      <c r="F8" s="10" t="n">
        <v>6</v>
      </c>
      <c r="G8" s="13" t="n">
        <v>0.394</v>
      </c>
      <c r="H8" s="13" t="n">
        <v>0.312</v>
      </c>
      <c r="I8" s="13" t="n">
        <v>-0.193</v>
      </c>
      <c r="J8" s="12" t="n"/>
      <c r="K8" s="10">
        <f>B8-G8</f>
        <v/>
      </c>
      <c r="L8" s="10">
        <f>C8-H8</f>
        <v/>
      </c>
      <c r="M8" s="10">
        <f>D8-I8</f>
        <v/>
      </c>
      <c r="N8" s="4" t="n"/>
      <c r="O8" s="20" t="inlineStr">
        <is>
          <t>Platform</t>
        </is>
      </c>
      <c r="P8" s="21" t="n"/>
      <c r="Q8" s="21" t="n"/>
      <c r="R8" s="22" t="n"/>
      <c r="S8" s="4" t="n"/>
      <c r="T8" s="4" t="n"/>
      <c r="U8" s="4" t="n"/>
      <c r="V8" s="4" t="n"/>
      <c r="W8" s="4" t="n"/>
      <c r="X8" s="4" t="n"/>
    </row>
    <row r="9">
      <c r="A9" s="10" t="n">
        <v>7</v>
      </c>
      <c r="B9" s="11" t="n">
        <v>0.188</v>
      </c>
      <c r="C9" s="11" t="n">
        <v>0.287</v>
      </c>
      <c r="D9" s="11" t="n">
        <v>-0.122</v>
      </c>
      <c r="E9" s="12" t="n"/>
      <c r="F9" s="10" t="n">
        <v>7</v>
      </c>
      <c r="G9" s="13" t="n">
        <v>0.454</v>
      </c>
      <c r="H9" s="13" t="n">
        <v>0.319</v>
      </c>
      <c r="I9" s="13" t="n">
        <v>-0.197</v>
      </c>
      <c r="J9" s="12" t="n"/>
      <c r="K9" s="10">
        <f>B9-G9</f>
        <v/>
      </c>
      <c r="L9" s="10">
        <f>C9-H9</f>
        <v/>
      </c>
      <c r="M9" s="10">
        <f>D9-I9</f>
        <v/>
      </c>
      <c r="N9" s="4" t="n"/>
      <c r="O9" s="7" t="n"/>
      <c r="P9" s="7" t="inlineStr">
        <is>
          <t>x(m)</t>
        </is>
      </c>
      <c r="Q9" s="7" t="inlineStr">
        <is>
          <t>y(m)</t>
        </is>
      </c>
      <c r="R9" s="7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10" t="n">
        <v>8</v>
      </c>
      <c r="B10" s="11" t="n">
        <v>0.12</v>
      </c>
      <c r="C10" s="11" t="n">
        <v>0.161</v>
      </c>
      <c r="D10" s="11" t="n">
        <v>-0.1</v>
      </c>
      <c r="E10" s="12" t="n"/>
      <c r="F10" s="10" t="n">
        <v>8</v>
      </c>
      <c r="G10" s="13" t="n">
        <v>0.485</v>
      </c>
      <c r="H10" s="13" t="n">
        <v>0.414</v>
      </c>
      <c r="I10" s="13" t="n">
        <v>-0.233</v>
      </c>
      <c r="J10" s="12" t="n"/>
      <c r="K10" s="10">
        <f>B10-G10</f>
        <v/>
      </c>
      <c r="L10" s="10">
        <f>C10-H10</f>
        <v/>
      </c>
      <c r="M10" s="10">
        <f>D10-I10</f>
        <v/>
      </c>
      <c r="N10" s="4" t="n"/>
      <c r="O10" s="13" t="inlineStr">
        <is>
          <t>d</t>
        </is>
      </c>
      <c r="P10" s="14">
        <f>AVERAGE(G3:G52)</f>
        <v/>
      </c>
      <c r="Q10" s="14">
        <f>AVERAGE(H3:H52)</f>
        <v/>
      </c>
      <c r="R10" s="14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10" t="n">
        <v>9</v>
      </c>
      <c r="B11" s="11" t="n">
        <v>0.42</v>
      </c>
      <c r="C11" s="11" t="n">
        <v>0.19</v>
      </c>
      <c r="D11" s="11" t="n">
        <v>-0.175</v>
      </c>
      <c r="E11" s="12" t="n"/>
      <c r="F11" s="10" t="n">
        <v>9</v>
      </c>
      <c r="G11" s="13" t="n">
        <v>0.341</v>
      </c>
      <c r="H11" s="13" t="n">
        <v>0.289</v>
      </c>
      <c r="I11" s="13" t="n">
        <v>-0.154</v>
      </c>
      <c r="J11" s="12" t="n"/>
      <c r="K11" s="10">
        <f>B11-G11</f>
        <v/>
      </c>
      <c r="L11" s="10">
        <f>C11-H11</f>
        <v/>
      </c>
      <c r="M11" s="10">
        <f>D11-I11</f>
        <v/>
      </c>
      <c r="N11" s="4" t="n"/>
      <c r="O11" s="13" t="inlineStr">
        <is>
          <t>sd</t>
        </is>
      </c>
      <c r="P11" s="14">
        <f>_xlfn.STDEV.S(G3:G52)</f>
        <v/>
      </c>
      <c r="Q11" s="14">
        <f>_xlfn.STDEV.S(H3:H52)</f>
        <v/>
      </c>
      <c r="R11" s="14">
        <f>_xlfn.STDEV.S(I3:I52)</f>
        <v/>
      </c>
      <c r="S11" s="4" t="n"/>
      <c r="T11" s="16" t="inlineStr">
        <is>
          <t>n</t>
        </is>
      </c>
      <c r="U11" s="4" t="n"/>
      <c r="V11" s="4" t="n"/>
      <c r="W11" s="4" t="n"/>
      <c r="X11" s="4" t="n"/>
    </row>
    <row r="12">
      <c r="A12" s="10" t="n">
        <v>10</v>
      </c>
      <c r="B12" s="11" t="n">
        <v>0.105</v>
      </c>
      <c r="C12" s="11" t="n">
        <v>0.124</v>
      </c>
      <c r="D12" s="11" t="n">
        <v>-0.08500000000000001</v>
      </c>
      <c r="E12" s="12" t="n"/>
      <c r="F12" s="10" t="n">
        <v>10</v>
      </c>
      <c r="G12" s="13" t="n">
        <v>0.292</v>
      </c>
      <c r="H12" s="13" t="n">
        <v>0.303</v>
      </c>
      <c r="I12" s="13" t="n">
        <v>-0.159</v>
      </c>
      <c r="J12" s="12" t="n"/>
      <c r="K12" s="10">
        <f>B12-G12</f>
        <v/>
      </c>
      <c r="L12" s="10">
        <f>C12-H12</f>
        <v/>
      </c>
      <c r="M12" s="10">
        <f>D12-I12</f>
        <v/>
      </c>
      <c r="N12" s="4" t="n"/>
      <c r="O12" s="13" t="inlineStr">
        <is>
          <t>1sig</t>
        </is>
      </c>
      <c r="P12" s="14">
        <f>P10+P11</f>
        <v/>
      </c>
      <c r="Q12" s="14">
        <f>Q10+Q11</f>
        <v/>
      </c>
      <c r="R12" s="14">
        <f>R10+R11</f>
        <v/>
      </c>
      <c r="S12" s="4" t="n"/>
      <c r="T12" s="13" t="n">
        <v>50</v>
      </c>
      <c r="U12" s="4" t="n"/>
      <c r="V12" s="4" t="n"/>
      <c r="W12" s="4" t="n"/>
      <c r="X12" s="4" t="n"/>
    </row>
    <row r="13">
      <c r="A13" s="10" t="n">
        <v>11</v>
      </c>
      <c r="B13" s="11" t="n">
        <v>0.347</v>
      </c>
      <c r="C13" s="11" t="n">
        <v>0.259</v>
      </c>
      <c r="D13" s="11" t="n">
        <v>-0.13</v>
      </c>
      <c r="E13" s="12" t="n"/>
      <c r="F13" s="10" t="n">
        <v>11</v>
      </c>
      <c r="G13" s="13" t="n">
        <v>0.414</v>
      </c>
      <c r="H13" s="13" t="n">
        <v>0.278</v>
      </c>
      <c r="I13" s="13" t="n">
        <v>-0.172</v>
      </c>
      <c r="J13" s="12" t="n"/>
      <c r="K13" s="10">
        <f>B13-G13</f>
        <v/>
      </c>
      <c r="L13" s="10">
        <f>C13-H13</f>
        <v/>
      </c>
      <c r="M13" s="10">
        <f>D13-I13</f>
        <v/>
      </c>
      <c r="N13" s="4" t="n"/>
      <c r="O13" s="13" t="inlineStr">
        <is>
          <t>-1sig</t>
        </is>
      </c>
      <c r="P13" s="14">
        <f>P10-P11</f>
        <v/>
      </c>
      <c r="Q13" s="14">
        <f>Q10-Q11</f>
        <v/>
      </c>
      <c r="R13" s="14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10" t="n">
        <v>12</v>
      </c>
      <c r="B14" s="11" t="n">
        <v>0.378</v>
      </c>
      <c r="C14" s="11" t="n">
        <v>0.298</v>
      </c>
      <c r="D14" s="11" t="n">
        <v>-0.17</v>
      </c>
      <c r="E14" s="12" t="n"/>
      <c r="F14" s="10" t="n">
        <v>12</v>
      </c>
      <c r="G14" s="13" t="n">
        <v>0.484</v>
      </c>
      <c r="H14" s="13" t="n">
        <v>0.486</v>
      </c>
      <c r="I14" s="13" t="n">
        <v>-0.251</v>
      </c>
      <c r="J14" s="12" t="n"/>
      <c r="K14" s="10">
        <f>B14-G14</f>
        <v/>
      </c>
      <c r="L14" s="10">
        <f>C14-H14</f>
        <v/>
      </c>
      <c r="M14" s="10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10" t="n">
        <v>13</v>
      </c>
      <c r="B15" s="11" t="n">
        <v>0.425</v>
      </c>
      <c r="C15" s="11" t="n">
        <v>0.357</v>
      </c>
      <c r="D15" s="11" t="n">
        <v>-0.188</v>
      </c>
      <c r="E15" s="12" t="n"/>
      <c r="F15" s="10" t="n">
        <v>13</v>
      </c>
      <c r="G15" s="13" t="n">
        <v>0.678</v>
      </c>
      <c r="H15" s="13" t="n">
        <v>0.428</v>
      </c>
      <c r="I15" s="13" t="n">
        <v>-0.3</v>
      </c>
      <c r="J15" s="12" t="n"/>
      <c r="K15" s="10">
        <f>B15-G15</f>
        <v/>
      </c>
      <c r="L15" s="10">
        <f>C15-H15</f>
        <v/>
      </c>
      <c r="M15" s="10">
        <f>D15-I15</f>
        <v/>
      </c>
      <c r="N15" s="4" t="n"/>
      <c r="O15" s="20" t="inlineStr">
        <is>
          <t>Diferença - Pareado</t>
        </is>
      </c>
      <c r="P15" s="21" t="n"/>
      <c r="Q15" s="21" t="n"/>
      <c r="R15" s="22" t="n"/>
      <c r="S15" s="4" t="n"/>
      <c r="T15" s="4" t="n"/>
      <c r="U15" s="4" t="n"/>
      <c r="V15" s="4" t="n"/>
      <c r="W15" s="4" t="n"/>
      <c r="X15" s="4" t="n"/>
    </row>
    <row r="16">
      <c r="A16" s="10" t="n">
        <v>14</v>
      </c>
      <c r="B16" s="11" t="n">
        <v>0.289</v>
      </c>
      <c r="C16" s="11" t="n">
        <v>0.185</v>
      </c>
      <c r="D16" s="11" t="n">
        <v>-0.145</v>
      </c>
      <c r="E16" s="12" t="n"/>
      <c r="F16" s="10" t="n">
        <v>14</v>
      </c>
      <c r="G16" s="13" t="n">
        <v>0.351</v>
      </c>
      <c r="H16" s="13" t="n">
        <v>0.45</v>
      </c>
      <c r="I16" s="13" t="n">
        <v>-0.208</v>
      </c>
      <c r="J16" s="12" t="n"/>
      <c r="K16" s="10">
        <f>B16-G16</f>
        <v/>
      </c>
      <c r="L16" s="10">
        <f>C16-H16</f>
        <v/>
      </c>
      <c r="M16" s="10">
        <f>D16-I16</f>
        <v/>
      </c>
      <c r="N16" s="4" t="n"/>
      <c r="O16" s="7" t="n"/>
      <c r="P16" s="7" t="inlineStr">
        <is>
          <t>x(m)</t>
        </is>
      </c>
      <c r="Q16" s="7" t="inlineStr">
        <is>
          <t>y(m)</t>
        </is>
      </c>
      <c r="R16" s="7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10" t="n">
        <v>15</v>
      </c>
      <c r="B17" s="11" t="n">
        <v>0.575</v>
      </c>
      <c r="C17" s="11" t="n">
        <v>0.293</v>
      </c>
      <c r="D17" s="11" t="n">
        <v>-0.233</v>
      </c>
      <c r="E17" s="12" t="n"/>
      <c r="F17" s="10" t="n">
        <v>15</v>
      </c>
      <c r="G17" s="13" t="n">
        <v>0.571</v>
      </c>
      <c r="H17" s="13" t="n">
        <v>0.405</v>
      </c>
      <c r="I17" s="13" t="n">
        <v>-0.232</v>
      </c>
      <c r="J17" s="12" t="n"/>
      <c r="K17" s="10">
        <f>B17-G17</f>
        <v/>
      </c>
      <c r="L17" s="10">
        <f>C17-H17</f>
        <v/>
      </c>
      <c r="M17" s="10">
        <f>D17-I17</f>
        <v/>
      </c>
      <c r="N17" s="4" t="n"/>
      <c r="O17" s="13" t="inlineStr">
        <is>
          <t>d</t>
        </is>
      </c>
      <c r="P17" s="14">
        <f>AVERAGE(K3:K52)</f>
        <v/>
      </c>
      <c r="Q17" s="14">
        <f>AVERAGE(L3:L52)</f>
        <v/>
      </c>
      <c r="R17" s="14">
        <f>AVERAGE(M3:M52)</f>
        <v/>
      </c>
      <c r="S17" s="4" t="n"/>
      <c r="T17" s="16" t="inlineStr">
        <is>
          <t>n1</t>
        </is>
      </c>
      <c r="U17" s="16" t="inlineStr">
        <is>
          <t>n2</t>
        </is>
      </c>
      <c r="V17" s="4" t="n"/>
      <c r="W17" s="4" t="n"/>
      <c r="X17" s="4" t="n"/>
    </row>
    <row r="18">
      <c r="A18" s="10" t="n">
        <v>16</v>
      </c>
      <c r="B18" s="11" t="n">
        <v>0.346</v>
      </c>
      <c r="C18" s="11" t="n">
        <v>0.309</v>
      </c>
      <c r="D18" s="11" t="n">
        <v>-0.162</v>
      </c>
      <c r="E18" s="12" t="n"/>
      <c r="F18" s="10" t="n">
        <v>16</v>
      </c>
      <c r="G18" s="13" t="n">
        <v>0.405</v>
      </c>
      <c r="H18" s="13" t="n">
        <v>0.458</v>
      </c>
      <c r="I18" s="13" t="n">
        <v>-0.24</v>
      </c>
      <c r="J18" s="12" t="n"/>
      <c r="K18" s="10">
        <f>B18-G18</f>
        <v/>
      </c>
      <c r="L18" s="10">
        <f>C18-H18</f>
        <v/>
      </c>
      <c r="M18" s="10">
        <f>D18-I18</f>
        <v/>
      </c>
      <c r="N18" s="4" t="n"/>
      <c r="O18" s="13" t="inlineStr">
        <is>
          <t>sd</t>
        </is>
      </c>
      <c r="P18" s="14">
        <f>_xlfn.STDEV.S(K3:K52)</f>
        <v/>
      </c>
      <c r="Q18" s="14">
        <f>_xlfn.STDEV.S(L3:L52)</f>
        <v/>
      </c>
      <c r="R18" s="14">
        <f>_xlfn.STDEV.S(M3:M52)</f>
        <v/>
      </c>
      <c r="S18" s="4" t="n"/>
      <c r="T18" s="13" t="n">
        <v>50</v>
      </c>
      <c r="U18" s="13" t="n">
        <v>50</v>
      </c>
      <c r="V18" s="4" t="n"/>
      <c r="W18" s="4" t="n"/>
      <c r="X18" s="4" t="n"/>
    </row>
    <row r="19">
      <c r="A19" s="10" t="n">
        <v>17</v>
      </c>
      <c r="B19" s="11" t="n">
        <v>0.196</v>
      </c>
      <c r="C19" s="11" t="n">
        <v>0.09</v>
      </c>
      <c r="D19" s="11" t="n">
        <v>-0.09</v>
      </c>
      <c r="E19" s="12" t="n"/>
      <c r="F19" s="10" t="n">
        <v>17</v>
      </c>
      <c r="G19" s="13" t="n">
        <v>0.143</v>
      </c>
      <c r="H19" s="13" t="n">
        <v>0.105</v>
      </c>
      <c r="I19" s="13" t="n">
        <v>-0.081</v>
      </c>
      <c r="J19" s="12" t="n"/>
      <c r="K19" s="10">
        <f>B19-G19</f>
        <v/>
      </c>
      <c r="L19" s="10">
        <f>C19-H19</f>
        <v/>
      </c>
      <c r="M19" s="10">
        <f>D19-I19</f>
        <v/>
      </c>
      <c r="N19" s="4" t="n"/>
      <c r="O19" s="13" t="inlineStr">
        <is>
          <t>t</t>
        </is>
      </c>
      <c r="P19" s="17">
        <f>ABS(P17/(P18/SQRT($T$12)))</f>
        <v/>
      </c>
      <c r="Q19" s="17">
        <f>ABS(Q17/(Q18/SQRT($T$12)))</f>
        <v/>
      </c>
      <c r="R19" s="17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10" t="n">
        <v>18</v>
      </c>
      <c r="B20" s="11" t="n">
        <v>0.275</v>
      </c>
      <c r="C20" s="11" t="n">
        <v>0.232</v>
      </c>
      <c r="D20" s="11" t="n">
        <v>-0.13</v>
      </c>
      <c r="E20" s="12" t="n"/>
      <c r="F20" s="10" t="n">
        <v>18</v>
      </c>
      <c r="G20" s="13" t="n">
        <v>0.446</v>
      </c>
      <c r="H20" s="13" t="n">
        <v>0.468</v>
      </c>
      <c r="I20" s="13" t="n">
        <v>-0.175</v>
      </c>
      <c r="J20" s="12" t="n"/>
      <c r="K20" s="10">
        <f>B20-G20</f>
        <v/>
      </c>
      <c r="L20" s="10">
        <f>C20-H20</f>
        <v/>
      </c>
      <c r="M20" s="10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9">
      <c r="A21" s="10" t="n">
        <v>19</v>
      </c>
      <c r="B21" s="11" t="n">
        <v>0.121</v>
      </c>
      <c r="C21" s="11" t="n">
        <v>0.118</v>
      </c>
      <c r="D21" s="11" t="n">
        <v>-0.079</v>
      </c>
      <c r="E21" s="12" t="n"/>
      <c r="F21" s="10" t="n">
        <v>19</v>
      </c>
      <c r="G21" s="13" t="n">
        <v>0.508</v>
      </c>
      <c r="H21" s="13" t="n">
        <v>0.352</v>
      </c>
      <c r="I21" s="13" t="n">
        <v>-0.205</v>
      </c>
      <c r="J21" s="12" t="n"/>
      <c r="K21" s="10">
        <f>B21-G21</f>
        <v/>
      </c>
      <c r="L21" s="10">
        <f>C21-H21</f>
        <v/>
      </c>
      <c r="M21" s="10">
        <f>D21-I21</f>
        <v/>
      </c>
      <c r="N21" s="4" t="n"/>
      <c r="O21" s="20" t="inlineStr">
        <is>
          <t>Diferença - Não Pareado</t>
        </is>
      </c>
      <c r="P21" s="21" t="n"/>
      <c r="Q21" s="21" t="n"/>
      <c r="R21" s="22" t="n"/>
      <c r="S21" s="4" t="n"/>
      <c r="T21" s="4" t="n"/>
      <c r="U21" s="4" t="n"/>
      <c r="V21" s="4" t="n"/>
      <c r="W21" s="4" t="n"/>
      <c r="X21" s="4" t="n"/>
    </row>
    <row r="22" ht="15.75" customHeight="1" s="19">
      <c r="A22" s="10" t="n">
        <v>20</v>
      </c>
      <c r="B22" s="11" t="n">
        <v>0.431</v>
      </c>
      <c r="C22" s="11" t="n">
        <v>0.405</v>
      </c>
      <c r="D22" s="11" t="n">
        <v>-0.232</v>
      </c>
      <c r="E22" s="12" t="n"/>
      <c r="F22" s="10" t="n">
        <v>20</v>
      </c>
      <c r="G22" s="13" t="n">
        <v>0.482</v>
      </c>
      <c r="H22" s="13" t="n">
        <v>0.417</v>
      </c>
      <c r="I22" s="13" t="n">
        <v>-0.21</v>
      </c>
      <c r="J22" s="12" t="n"/>
      <c r="K22" s="10">
        <f>B22-G22</f>
        <v/>
      </c>
      <c r="L22" s="10">
        <f>C22-H22</f>
        <v/>
      </c>
      <c r="M22" s="10">
        <f>D22-I22</f>
        <v/>
      </c>
      <c r="N22" s="4" t="n"/>
      <c r="O22" s="7" t="n"/>
      <c r="P22" s="7" t="inlineStr">
        <is>
          <t>x(m)</t>
        </is>
      </c>
      <c r="Q22" s="7" t="inlineStr">
        <is>
          <t>y(m)</t>
        </is>
      </c>
      <c r="R22" s="7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9">
      <c r="A23" s="10" t="n">
        <v>21</v>
      </c>
      <c r="B23" s="11" t="n">
        <v>0.254</v>
      </c>
      <c r="C23" s="11" t="n">
        <v>0.28</v>
      </c>
      <c r="D23" s="11" t="n">
        <v>-0.143</v>
      </c>
      <c r="E23" s="12" t="n"/>
      <c r="F23" s="10" t="n">
        <v>21</v>
      </c>
      <c r="G23" s="13" t="n">
        <v>0.486</v>
      </c>
      <c r="H23" s="13" t="n">
        <v>0.367</v>
      </c>
      <c r="I23" s="13" t="n">
        <v>-0.202</v>
      </c>
      <c r="J23" s="12" t="n"/>
      <c r="K23" s="10">
        <f>B23-G23</f>
        <v/>
      </c>
      <c r="L23" s="10">
        <f>C23-H23</f>
        <v/>
      </c>
      <c r="M23" s="10">
        <f>D23-I23</f>
        <v/>
      </c>
      <c r="N23" s="4" t="n"/>
      <c r="O23" s="16" t="inlineStr">
        <is>
          <t>sp2</t>
        </is>
      </c>
      <c r="P23" s="14">
        <f>(($T$18-1)*(P4^2) + ($U$18-1)*(P11^2))/($T$18+$U$18-2)</f>
        <v/>
      </c>
      <c r="Q23" s="14">
        <f>(($T$18-1)*(Q4^2) + ($U$18-1)*(Q11^2))/($T$18+$U$18-2)</f>
        <v/>
      </c>
      <c r="R23" s="14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9">
      <c r="A24" s="10" t="n">
        <v>22</v>
      </c>
      <c r="B24" s="11" t="n">
        <v>0.24</v>
      </c>
      <c r="C24" s="11" t="n">
        <v>0.148</v>
      </c>
      <c r="D24" s="11" t="n">
        <v>-0.12</v>
      </c>
      <c r="E24" s="12" t="n"/>
      <c r="F24" s="10" t="n">
        <v>22</v>
      </c>
      <c r="G24" s="13" t="n">
        <v>0.37</v>
      </c>
      <c r="H24" s="13" t="n">
        <v>0.291</v>
      </c>
      <c r="I24" s="13" t="n">
        <v>-0.184</v>
      </c>
      <c r="J24" s="12" t="n"/>
      <c r="K24" s="10">
        <f>B24-G24</f>
        <v/>
      </c>
      <c r="L24" s="10">
        <f>C24-H24</f>
        <v/>
      </c>
      <c r="M24" s="10">
        <f>D24-I24</f>
        <v/>
      </c>
      <c r="N24" s="4" t="n"/>
      <c r="O24" s="16" t="inlineStr">
        <is>
          <t>s1-2</t>
        </is>
      </c>
      <c r="P24" s="14">
        <f>P4^2</f>
        <v/>
      </c>
      <c r="Q24" s="14">
        <f>Q4^2</f>
        <v/>
      </c>
      <c r="R24" s="14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9">
      <c r="A25" s="10" t="n">
        <v>23</v>
      </c>
      <c r="B25" s="11" t="n">
        <v>0.264</v>
      </c>
      <c r="C25" s="11" t="n">
        <v>0.285</v>
      </c>
      <c r="D25" s="11" t="n">
        <v>-0.14</v>
      </c>
      <c r="E25" s="12" t="n"/>
      <c r="F25" s="10" t="n">
        <v>23</v>
      </c>
      <c r="G25" s="13" t="n">
        <v>0.276</v>
      </c>
      <c r="H25" s="13" t="n">
        <v>0.374</v>
      </c>
      <c r="I25" s="13" t="n">
        <v>-0.189</v>
      </c>
      <c r="J25" s="12" t="n"/>
      <c r="K25" s="10">
        <f>B25-G25</f>
        <v/>
      </c>
      <c r="L25" s="10">
        <f>C25-H25</f>
        <v/>
      </c>
      <c r="M25" s="10">
        <f>D25-I25</f>
        <v/>
      </c>
      <c r="N25" s="4" t="n"/>
      <c r="O25" s="16" t="inlineStr">
        <is>
          <t>s2-2</t>
        </is>
      </c>
      <c r="P25" s="14">
        <f>P11^2</f>
        <v/>
      </c>
      <c r="Q25" s="14">
        <f>Q11^2</f>
        <v/>
      </c>
      <c r="R25" s="14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9">
      <c r="A26" s="10" t="n">
        <v>24</v>
      </c>
      <c r="B26" s="11" t="n">
        <v>0.288</v>
      </c>
      <c r="C26" s="11" t="n">
        <v>0.204</v>
      </c>
      <c r="D26" s="11" t="n">
        <v>-0.144</v>
      </c>
      <c r="E26" s="12" t="n"/>
      <c r="F26" s="10" t="n">
        <v>24</v>
      </c>
      <c r="G26" s="13" t="n">
        <v>0.39</v>
      </c>
      <c r="H26" s="13" t="n">
        <v>0.412</v>
      </c>
      <c r="I26" s="13" t="n">
        <v>-0.192</v>
      </c>
      <c r="J26" s="12" t="n"/>
      <c r="K26" s="10">
        <f>B26-G26</f>
        <v/>
      </c>
      <c r="L26" s="10">
        <f>C26-H26</f>
        <v/>
      </c>
      <c r="M26" s="10">
        <f>D26-I26</f>
        <v/>
      </c>
      <c r="N26" s="4" t="n"/>
      <c r="O26" s="16" t="inlineStr">
        <is>
          <t>sp-2</t>
        </is>
      </c>
      <c r="P26" s="14">
        <f>SQRT( ((($T$18-1)*P24) + (($U$18-1)*P25))/($T$18+$U$18-2))</f>
        <v/>
      </c>
      <c r="Q26" s="14">
        <f>SQRT( ((($T$18-1)*Q24) + (($U$18-1)*Q25))/($T$18+$U$18-2))</f>
        <v/>
      </c>
      <c r="R26" s="14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9">
      <c r="A27" s="10" t="n">
        <v>25</v>
      </c>
      <c r="B27" s="11" t="n">
        <v>0.201</v>
      </c>
      <c r="C27" s="11" t="n">
        <v>0.181</v>
      </c>
      <c r="D27" s="11" t="n">
        <v>-0.096</v>
      </c>
      <c r="E27" s="12" t="n"/>
      <c r="F27" s="10" t="n">
        <v>25</v>
      </c>
      <c r="G27" s="13" t="n">
        <v>0.616</v>
      </c>
      <c r="H27" s="13" t="n">
        <v>0.51</v>
      </c>
      <c r="I27" s="13" t="n">
        <v>-0.276</v>
      </c>
      <c r="J27" s="12" t="n"/>
      <c r="K27" s="10">
        <f>B27-G27</f>
        <v/>
      </c>
      <c r="L27" s="10">
        <f>C27-H27</f>
        <v/>
      </c>
      <c r="M27" s="10">
        <f>D27-I27</f>
        <v/>
      </c>
      <c r="N27" s="4" t="n"/>
      <c r="O27" s="16" t="inlineStr">
        <is>
          <t>se</t>
        </is>
      </c>
      <c r="P27" s="14">
        <f>P26*SQRT(1/50 + 1/50)</f>
        <v/>
      </c>
      <c r="Q27" s="14">
        <f>Q26*SQRT(1/50 + 1/50)</f>
        <v/>
      </c>
      <c r="R27" s="14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9">
      <c r="A28" s="10" t="n">
        <v>26</v>
      </c>
      <c r="B28" s="11" t="n">
        <v>0.387</v>
      </c>
      <c r="C28" s="11" t="n">
        <v>0.24</v>
      </c>
      <c r="D28" s="11" t="n">
        <v>-0.175</v>
      </c>
      <c r="E28" s="12" t="n"/>
      <c r="F28" s="10" t="n">
        <v>26</v>
      </c>
      <c r="G28" s="13" t="n">
        <v>0.339</v>
      </c>
      <c r="H28" s="13" t="n">
        <v>0.257</v>
      </c>
      <c r="I28" s="13" t="n">
        <v>-0.164</v>
      </c>
      <c r="J28" s="12" t="n"/>
      <c r="K28" s="10">
        <f>B28-G28</f>
        <v/>
      </c>
      <c r="L28" s="10">
        <f>C28-H28</f>
        <v/>
      </c>
      <c r="M28" s="10">
        <f>D28-I28</f>
        <v/>
      </c>
      <c r="N28" s="4" t="n"/>
      <c r="O28" s="16" t="inlineStr">
        <is>
          <t>t</t>
        </is>
      </c>
      <c r="P28" s="17">
        <f>ABS((P3-P10)/P27)</f>
        <v/>
      </c>
      <c r="Q28" s="17">
        <f>ABS((Q3-Q10)/Q27)</f>
        <v/>
      </c>
      <c r="R28" s="17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9">
      <c r="A29" s="10" t="n">
        <v>27</v>
      </c>
      <c r="B29" s="11" t="n">
        <v>0.408</v>
      </c>
      <c r="C29" s="11" t="n">
        <v>0.293</v>
      </c>
      <c r="D29" s="11" t="n">
        <v>-0.193</v>
      </c>
      <c r="E29" s="12" t="n"/>
      <c r="F29" s="10" t="n">
        <v>27</v>
      </c>
      <c r="G29" s="13" t="n">
        <v>0.425</v>
      </c>
      <c r="H29" s="13" t="n">
        <v>0.352</v>
      </c>
      <c r="I29" s="13" t="n">
        <v>-0.199</v>
      </c>
      <c r="J29" s="12" t="n"/>
      <c r="K29" s="10">
        <f>B29-G29</f>
        <v/>
      </c>
      <c r="L29" s="10">
        <f>C29-H29</f>
        <v/>
      </c>
      <c r="M29" s="10">
        <f>D29-I29</f>
        <v/>
      </c>
      <c r="N29" s="4" t="n"/>
      <c r="O29" s="16" t="inlineStr">
        <is>
          <t>gl</t>
        </is>
      </c>
      <c r="P29" s="13">
        <f>$T$18+$U$18-2</f>
        <v/>
      </c>
      <c r="Q29" s="13">
        <f>$T$18+$U$18-2</f>
        <v/>
      </c>
      <c r="R29" s="13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9">
      <c r="A30" s="10" t="n">
        <v>28</v>
      </c>
      <c r="B30" s="11" t="n">
        <v>0.297</v>
      </c>
      <c r="C30" s="11" t="n">
        <v>0.341</v>
      </c>
      <c r="D30" s="11" t="n">
        <v>-0.117</v>
      </c>
      <c r="E30" s="12" t="n"/>
      <c r="F30" s="10" t="n">
        <v>28</v>
      </c>
      <c r="G30" s="13" t="n">
        <v>0.345</v>
      </c>
      <c r="H30" s="13" t="n">
        <v>0.281</v>
      </c>
      <c r="I30" s="13" t="n">
        <v>-0.148</v>
      </c>
      <c r="J30" s="12" t="n"/>
      <c r="K30" s="10">
        <f>B30-G30</f>
        <v/>
      </c>
      <c r="L30" s="10">
        <f>C30-H30</f>
        <v/>
      </c>
      <c r="M30" s="10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9">
      <c r="A31" s="10" t="n">
        <v>29</v>
      </c>
      <c r="B31" s="11" t="n">
        <v>0.422</v>
      </c>
      <c r="C31" s="11" t="n">
        <v>0.233</v>
      </c>
      <c r="D31" s="11" t="n">
        <v>-0.185</v>
      </c>
      <c r="E31" s="12" t="n"/>
      <c r="F31" s="10" t="n">
        <v>29</v>
      </c>
      <c r="G31" s="13" t="n">
        <v>0.5639999999999999</v>
      </c>
      <c r="H31" s="13" t="n">
        <v>0.473</v>
      </c>
      <c r="I31" s="13" t="n">
        <v>-0.257</v>
      </c>
      <c r="J31" s="12" t="n"/>
      <c r="K31" s="10">
        <f>B31-G31</f>
        <v/>
      </c>
      <c r="L31" s="10">
        <f>C31-H31</f>
        <v/>
      </c>
      <c r="M31" s="10">
        <f>D31-I31</f>
        <v/>
      </c>
      <c r="N31" s="4" t="n"/>
      <c r="O31" s="16" t="inlineStr">
        <is>
          <t>p</t>
        </is>
      </c>
      <c r="P31" s="18">
        <f>2*(1-(_xlfn.T.DIST(ABS(P28), P29, TRUE)))</f>
        <v/>
      </c>
      <c r="Q31" s="18">
        <f>2*(1-_xlfn.T.DIST(Q28, Q29, TRUE))</f>
        <v/>
      </c>
      <c r="R31" s="18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9">
      <c r="A32" s="10" t="n">
        <v>30</v>
      </c>
      <c r="B32" s="11" t="n">
        <v>0.267</v>
      </c>
      <c r="C32" s="11" t="n">
        <v>0.279</v>
      </c>
      <c r="D32" s="11" t="n">
        <v>-0.12</v>
      </c>
      <c r="E32" s="12" t="n"/>
      <c r="F32" s="10" t="n">
        <v>30</v>
      </c>
      <c r="G32" s="13" t="n">
        <v>0.379</v>
      </c>
      <c r="H32" s="13" t="n">
        <v>0.291</v>
      </c>
      <c r="I32" s="13" t="n">
        <v>-0.182</v>
      </c>
      <c r="J32" s="12" t="n"/>
      <c r="K32" s="10">
        <f>B32-G32</f>
        <v/>
      </c>
      <c r="L32" s="10">
        <f>C32-H32</f>
        <v/>
      </c>
      <c r="M32" s="10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9">
      <c r="A33" s="10" t="n">
        <v>31</v>
      </c>
      <c r="B33" s="11" t="n">
        <v>0.424</v>
      </c>
      <c r="C33" s="11" t="n">
        <v>0.404</v>
      </c>
      <c r="D33" s="11" t="n">
        <v>-0.177</v>
      </c>
      <c r="E33" s="12" t="n"/>
      <c r="F33" s="10" t="n">
        <v>31</v>
      </c>
      <c r="G33" s="13" t="n">
        <v>0.493</v>
      </c>
      <c r="H33" s="13" t="n">
        <v>0.194</v>
      </c>
      <c r="I33" s="13" t="n">
        <v>-0.176</v>
      </c>
      <c r="J33" s="12" t="n"/>
      <c r="K33" s="10">
        <f>B33-G33</f>
        <v/>
      </c>
      <c r="L33" s="10">
        <f>C33-H33</f>
        <v/>
      </c>
      <c r="M33" s="10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9">
      <c r="A34" s="10" t="n">
        <v>32</v>
      </c>
      <c r="B34" s="11" t="n">
        <v>0.472</v>
      </c>
      <c r="C34" s="11" t="n">
        <v>0.282</v>
      </c>
      <c r="D34" s="11" t="n">
        <v>-0.193</v>
      </c>
      <c r="E34" s="12" t="n"/>
      <c r="F34" s="10" t="n">
        <v>32</v>
      </c>
      <c r="G34" s="13" t="n">
        <v>0.347</v>
      </c>
      <c r="H34" s="13" t="n">
        <v>0.404</v>
      </c>
      <c r="I34" s="13" t="n">
        <v>-0.198</v>
      </c>
      <c r="J34" s="12" t="n"/>
      <c r="K34" s="10">
        <f>B34-G34</f>
        <v/>
      </c>
      <c r="L34" s="10">
        <f>C34-H34</f>
        <v/>
      </c>
      <c r="M34" s="10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9">
      <c r="A35" s="10" t="n">
        <v>33</v>
      </c>
      <c r="B35" s="11" t="n">
        <v>0.381</v>
      </c>
      <c r="C35" s="11" t="n">
        <v>0.252</v>
      </c>
      <c r="D35" s="11" t="n">
        <v>-0.163</v>
      </c>
      <c r="E35" s="12" t="n"/>
      <c r="F35" s="10" t="n">
        <v>33</v>
      </c>
      <c r="G35" s="13" t="n">
        <v>0.312</v>
      </c>
      <c r="H35" s="13" t="n">
        <v>0.26</v>
      </c>
      <c r="I35" s="13" t="n">
        <v>-0.147</v>
      </c>
      <c r="J35" s="12" t="n"/>
      <c r="K35" s="10">
        <f>B35-G35</f>
        <v/>
      </c>
      <c r="L35" s="10">
        <f>C35-H35</f>
        <v/>
      </c>
      <c r="M35" s="10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9">
      <c r="A36" s="10" t="n">
        <v>34</v>
      </c>
      <c r="B36" s="11" t="n">
        <v>0.355</v>
      </c>
      <c r="C36" s="11" t="n">
        <v>0.307</v>
      </c>
      <c r="D36" s="11" t="n">
        <v>-0.142</v>
      </c>
      <c r="E36" s="12" t="n"/>
      <c r="F36" s="10" t="n">
        <v>34</v>
      </c>
      <c r="G36" s="13" t="n">
        <v>0.322</v>
      </c>
      <c r="H36" s="13" t="n">
        <v>0.305</v>
      </c>
      <c r="I36" s="13" t="n">
        <v>-0.167</v>
      </c>
      <c r="J36" s="12" t="n"/>
      <c r="K36" s="10">
        <f>B36-G36</f>
        <v/>
      </c>
      <c r="L36" s="10">
        <f>C36-H36</f>
        <v/>
      </c>
      <c r="M36" s="10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9">
      <c r="A37" s="10" t="n">
        <v>35</v>
      </c>
      <c r="B37" s="11" t="n">
        <v>0.367</v>
      </c>
      <c r="C37" s="11" t="n">
        <v>0.256</v>
      </c>
      <c r="D37" s="11" t="n">
        <v>-0.159</v>
      </c>
      <c r="E37" s="12" t="n"/>
      <c r="F37" s="10" t="n">
        <v>35</v>
      </c>
      <c r="G37" s="13" t="n">
        <v>0.455</v>
      </c>
      <c r="H37" s="13" t="n">
        <v>0.341</v>
      </c>
      <c r="I37" s="13" t="n">
        <v>-0.201</v>
      </c>
      <c r="J37" s="12" t="n"/>
      <c r="K37" s="10">
        <f>B37-G37</f>
        <v/>
      </c>
      <c r="L37" s="10">
        <f>C37-H37</f>
        <v/>
      </c>
      <c r="M37" s="10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9">
      <c r="A38" s="10" t="n">
        <v>36</v>
      </c>
      <c r="B38" s="11" t="n">
        <v>0.409</v>
      </c>
      <c r="C38" s="11" t="n">
        <v>0.314</v>
      </c>
      <c r="D38" s="11" t="n">
        <v>-0.155</v>
      </c>
      <c r="E38" s="12" t="n"/>
      <c r="F38" s="10" t="n">
        <v>36</v>
      </c>
      <c r="G38" s="13" t="n">
        <v>0.407</v>
      </c>
      <c r="H38" s="13" t="n">
        <v>0.259</v>
      </c>
      <c r="I38" s="13" t="n">
        <v>-0.209</v>
      </c>
      <c r="J38" s="12" t="n"/>
      <c r="K38" s="10">
        <f>B38-G38</f>
        <v/>
      </c>
      <c r="L38" s="10">
        <f>C38-H38</f>
        <v/>
      </c>
      <c r="M38" s="10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9">
      <c r="A39" s="10" t="n">
        <v>37</v>
      </c>
      <c r="B39" s="11" t="n">
        <v>0.186</v>
      </c>
      <c r="C39" s="11" t="n">
        <v>0.308</v>
      </c>
      <c r="D39" s="11" t="n">
        <v>-0.106</v>
      </c>
      <c r="E39" s="12" t="n"/>
      <c r="F39" s="10" t="n">
        <v>37</v>
      </c>
      <c r="G39" s="13" t="n">
        <v>0.456</v>
      </c>
      <c r="H39" s="13" t="n">
        <v>0.462</v>
      </c>
      <c r="I39" s="13" t="n">
        <v>-0.214</v>
      </c>
      <c r="J39" s="12" t="n"/>
      <c r="K39" s="10">
        <f>B39-G39</f>
        <v/>
      </c>
      <c r="L39" s="10">
        <f>C39-H39</f>
        <v/>
      </c>
      <c r="M39" s="10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9">
      <c r="A40" s="10" t="n">
        <v>38</v>
      </c>
      <c r="B40" s="11" t="n">
        <v>0.439</v>
      </c>
      <c r="C40" s="11" t="n">
        <v>0.528</v>
      </c>
      <c r="D40" s="11" t="n">
        <v>-0.222</v>
      </c>
      <c r="E40" s="12" t="n"/>
      <c r="F40" s="10" t="n">
        <v>38</v>
      </c>
      <c r="G40" s="13" t="n">
        <v>0.606</v>
      </c>
      <c r="H40" s="13" t="n">
        <v>0.376</v>
      </c>
      <c r="I40" s="13" t="n">
        <v>-0.278</v>
      </c>
      <c r="J40" s="12" t="n"/>
      <c r="K40" s="10">
        <f>B40-G40</f>
        <v/>
      </c>
      <c r="L40" s="10">
        <f>C40-H40</f>
        <v/>
      </c>
      <c r="M40" s="10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9">
      <c r="A41" s="10" t="n">
        <v>39</v>
      </c>
      <c r="B41" s="11" t="n">
        <v>0.179</v>
      </c>
      <c r="C41" s="11" t="n">
        <v>0.206</v>
      </c>
      <c r="D41" s="11" t="n">
        <v>-0.08699999999999999</v>
      </c>
      <c r="E41" s="12" t="n"/>
      <c r="F41" s="10" t="n">
        <v>39</v>
      </c>
      <c r="G41" s="13" t="n">
        <v>0.351</v>
      </c>
      <c r="H41" s="13" t="n">
        <v>0.49</v>
      </c>
      <c r="I41" s="13" t="n">
        <v>-0.215</v>
      </c>
      <c r="J41" s="12" t="n"/>
      <c r="K41" s="10">
        <f>B41-G41</f>
        <v/>
      </c>
      <c r="L41" s="10">
        <f>C41-H41</f>
        <v/>
      </c>
      <c r="M41" s="10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9">
      <c r="A42" s="10" t="n">
        <v>40</v>
      </c>
      <c r="B42" s="11" t="n">
        <v>0.205</v>
      </c>
      <c r="C42" s="11" t="n">
        <v>0.167</v>
      </c>
      <c r="D42" s="11" t="n">
        <v>-0.12</v>
      </c>
      <c r="E42" s="12" t="n"/>
      <c r="F42" s="10" t="n">
        <v>40</v>
      </c>
      <c r="G42" s="13" t="n">
        <v>0.465</v>
      </c>
      <c r="H42" s="13" t="n">
        <v>0.291</v>
      </c>
      <c r="I42" s="13" t="n">
        <v>-0.19</v>
      </c>
      <c r="J42" s="12" t="n"/>
      <c r="K42" s="10">
        <f>B42-G42</f>
        <v/>
      </c>
      <c r="L42" s="10">
        <f>C42-H42</f>
        <v/>
      </c>
      <c r="M42" s="10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9">
      <c r="A43" s="10" t="n">
        <v>41</v>
      </c>
      <c r="B43" s="11" t="n">
        <v>0.382</v>
      </c>
      <c r="C43" s="11" t="n">
        <v>0.346</v>
      </c>
      <c r="D43" s="11" t="n">
        <v>-0.185</v>
      </c>
      <c r="E43" s="12" t="n"/>
      <c r="F43" s="10" t="n">
        <v>41</v>
      </c>
      <c r="G43" s="13" t="n">
        <v>0.263</v>
      </c>
      <c r="H43" s="13" t="n">
        <v>0.234</v>
      </c>
      <c r="I43" s="13" t="n">
        <v>-0.158</v>
      </c>
      <c r="J43" s="12" t="n"/>
      <c r="K43" s="10">
        <f>B43-G43</f>
        <v/>
      </c>
      <c r="L43" s="10">
        <f>C43-H43</f>
        <v/>
      </c>
      <c r="M43" s="10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9">
      <c r="A44" s="10" t="n">
        <v>42</v>
      </c>
      <c r="B44" s="11" t="n">
        <v>0.24</v>
      </c>
      <c r="C44" s="11" t="n">
        <v>0.152</v>
      </c>
      <c r="D44" s="11" t="n">
        <v>-0.096</v>
      </c>
      <c r="E44" s="12" t="n"/>
      <c r="F44" s="10" t="n">
        <v>42</v>
      </c>
      <c r="G44" s="13" t="n">
        <v>0.489</v>
      </c>
      <c r="H44" s="13" t="n">
        <v>0.442</v>
      </c>
      <c r="I44" s="13" t="n">
        <v>-0.223</v>
      </c>
      <c r="J44" s="12" t="n"/>
      <c r="K44" s="10">
        <f>B44-G44</f>
        <v/>
      </c>
      <c r="L44" s="10">
        <f>C44-H44</f>
        <v/>
      </c>
      <c r="M44" s="10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9">
      <c r="A45" s="10" t="n">
        <v>43</v>
      </c>
      <c r="B45" s="11" t="n">
        <v>0.344</v>
      </c>
      <c r="C45" s="11" t="n">
        <v>0.333</v>
      </c>
      <c r="D45" s="11" t="n">
        <v>-0.136</v>
      </c>
      <c r="E45" s="12" t="n"/>
      <c r="F45" s="10" t="n">
        <v>43</v>
      </c>
      <c r="G45" s="13" t="n">
        <v>0.451</v>
      </c>
      <c r="H45" s="13" t="n">
        <v>0.369</v>
      </c>
      <c r="I45" s="13" t="n">
        <v>-0.179</v>
      </c>
      <c r="J45" s="12" t="n"/>
      <c r="K45" s="10">
        <f>B45-G45</f>
        <v/>
      </c>
      <c r="L45" s="10">
        <f>C45-H45</f>
        <v/>
      </c>
      <c r="M45" s="10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9">
      <c r="A46" s="10" t="n">
        <v>44</v>
      </c>
      <c r="B46" s="11" t="n">
        <v>0.157</v>
      </c>
      <c r="C46" s="11" t="n">
        <v>0.105</v>
      </c>
      <c r="D46" s="11" t="n">
        <v>-0.113</v>
      </c>
      <c r="E46" s="12" t="n"/>
      <c r="F46" s="10" t="n">
        <v>44</v>
      </c>
      <c r="G46" s="13" t="n">
        <v>0.462</v>
      </c>
      <c r="H46" s="13" t="n">
        <v>0.306</v>
      </c>
      <c r="I46" s="13" t="n">
        <v>-0.227</v>
      </c>
      <c r="J46" s="12" t="n"/>
      <c r="K46" s="10">
        <f>B46-G46</f>
        <v/>
      </c>
      <c r="L46" s="10">
        <f>C46-H46</f>
        <v/>
      </c>
      <c r="M46" s="10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9">
      <c r="A47" s="10" t="n">
        <v>45</v>
      </c>
      <c r="B47" s="11" t="n">
        <v>0.465</v>
      </c>
      <c r="C47" s="11" t="n">
        <v>0.385</v>
      </c>
      <c r="D47" s="11" t="n">
        <v>-0.197</v>
      </c>
      <c r="E47" s="12" t="n"/>
      <c r="F47" s="10" t="n">
        <v>45</v>
      </c>
      <c r="G47" s="13" t="n">
        <v>0.344</v>
      </c>
      <c r="H47" s="13" t="n">
        <v>0.313</v>
      </c>
      <c r="I47" s="13" t="n">
        <v>-0.2</v>
      </c>
      <c r="J47" s="12" t="n"/>
      <c r="K47" s="10">
        <f>B47-G47</f>
        <v/>
      </c>
      <c r="L47" s="10">
        <f>C47-H47</f>
        <v/>
      </c>
      <c r="M47" s="10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9">
      <c r="A48" s="10" t="n">
        <v>46</v>
      </c>
      <c r="B48" s="11" t="n">
        <v>0.326</v>
      </c>
      <c r="C48" s="11" t="n">
        <v>0.403</v>
      </c>
      <c r="D48" s="11" t="n">
        <v>-0.174</v>
      </c>
      <c r="E48" s="12" t="n"/>
      <c r="F48" s="10" t="n">
        <v>46</v>
      </c>
      <c r="G48" s="13" t="n">
        <v>0.313</v>
      </c>
      <c r="H48" s="13" t="n">
        <v>0.164</v>
      </c>
      <c r="I48" s="13" t="n">
        <v>-0.157</v>
      </c>
      <c r="J48" s="12" t="n"/>
      <c r="K48" s="10">
        <f>B48-G48</f>
        <v/>
      </c>
      <c r="L48" s="10">
        <f>C48-H48</f>
        <v/>
      </c>
      <c r="M48" s="10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9">
      <c r="A49" s="10" t="n">
        <v>47</v>
      </c>
      <c r="B49" s="11" t="n">
        <v>0.242</v>
      </c>
      <c r="C49" s="11" t="n">
        <v>0.091</v>
      </c>
      <c r="D49" s="11" t="n">
        <v>-0.09</v>
      </c>
      <c r="E49" s="12" t="n"/>
      <c r="F49" s="10" t="n">
        <v>47</v>
      </c>
      <c r="G49" s="13" t="n">
        <v>0.272</v>
      </c>
      <c r="H49" s="13" t="n">
        <v>0.302</v>
      </c>
      <c r="I49" s="13" t="n">
        <v>-0.153</v>
      </c>
      <c r="J49" s="12" t="n"/>
      <c r="K49" s="10">
        <f>B49-G49</f>
        <v/>
      </c>
      <c r="L49" s="10">
        <f>C49-H49</f>
        <v/>
      </c>
      <c r="M49" s="10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9">
      <c r="A50" s="10" t="n">
        <v>48</v>
      </c>
      <c r="B50" s="11" t="n">
        <v>0.384</v>
      </c>
      <c r="C50" s="11" t="n">
        <v>0.298</v>
      </c>
      <c r="D50" s="11" t="n">
        <v>-0.199</v>
      </c>
      <c r="E50" s="12" t="n"/>
      <c r="F50" s="10" t="n">
        <v>48</v>
      </c>
      <c r="G50" s="13" t="n">
        <v>0.501</v>
      </c>
      <c r="H50" s="13" t="n">
        <v>0.301</v>
      </c>
      <c r="I50" s="13" t="n">
        <v>-0.246</v>
      </c>
      <c r="J50" s="12" t="n"/>
      <c r="K50" s="10">
        <f>B50-G50</f>
        <v/>
      </c>
      <c r="L50" s="10">
        <f>C50-H50</f>
        <v/>
      </c>
      <c r="M50" s="10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9">
      <c r="A51" s="10" t="n">
        <v>49</v>
      </c>
      <c r="B51" s="11" t="n">
        <v>0.538</v>
      </c>
      <c r="C51" s="11" t="n">
        <v>0.327</v>
      </c>
      <c r="D51" s="11" t="n">
        <v>-0.213</v>
      </c>
      <c r="E51" s="12" t="n"/>
      <c r="F51" s="10" t="n">
        <v>49</v>
      </c>
      <c r="G51" s="13" t="n">
        <v>0.306</v>
      </c>
      <c r="H51" s="13" t="n">
        <v>0.297</v>
      </c>
      <c r="I51" s="13" t="n">
        <v>-0.171</v>
      </c>
      <c r="J51" s="12" t="n"/>
      <c r="K51" s="10">
        <f>B51-G51</f>
        <v/>
      </c>
      <c r="L51" s="10">
        <f>C51-H51</f>
        <v/>
      </c>
      <c r="M51" s="10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9">
      <c r="A52" s="10" t="n">
        <v>50</v>
      </c>
      <c r="B52" s="11" t="n">
        <v>0.336</v>
      </c>
      <c r="C52" s="11" t="n">
        <v>0.298</v>
      </c>
      <c r="D52" s="11" t="n">
        <v>-0.153</v>
      </c>
      <c r="E52" s="12" t="n"/>
      <c r="F52" s="10" t="n">
        <v>50</v>
      </c>
      <c r="G52" s="13" t="n">
        <v>0.508</v>
      </c>
      <c r="H52" s="13" t="n">
        <v>0.471</v>
      </c>
      <c r="I52" s="13" t="n">
        <v>-0.238</v>
      </c>
      <c r="J52" s="12" t="n"/>
      <c r="K52" s="10">
        <f>B52-G52</f>
        <v/>
      </c>
      <c r="L52" s="10">
        <f>C52-H52</f>
        <v/>
      </c>
      <c r="M52" s="10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</row>
    <row r="254" ht="15.75" customHeight="1" s="1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</row>
    <row r="255" ht="15.75" customHeight="1" s="1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</row>
    <row r="256" ht="15.75" customHeight="1" s="1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</row>
    <row r="257" ht="15.75" customHeight="1" s="1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</row>
    <row r="258" ht="15.75" customHeight="1" s="1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</row>
    <row r="259" ht="15.75" customHeight="1" s="1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</row>
    <row r="260" ht="15.75" customHeight="1" s="1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</row>
    <row r="261" ht="15.75" customHeight="1" s="1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</row>
    <row r="262" ht="15.75" customHeight="1" s="1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</row>
    <row r="263" ht="15.75" customHeight="1" s="1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</row>
    <row r="264" ht="15.75" customHeight="1" s="1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</row>
    <row r="265" ht="15.75" customHeight="1" s="1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</row>
    <row r="266" ht="15.75" customHeight="1" s="1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</row>
    <row r="267" ht="15.75" customHeight="1" s="1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</row>
    <row r="268" ht="15.75" customHeight="1" s="1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</row>
    <row r="269" ht="15.75" customHeight="1" s="1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</row>
    <row r="270" ht="15.75" customHeight="1" s="1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</row>
    <row r="271" ht="15.75" customHeight="1" s="1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</row>
    <row r="272" ht="15.75" customHeight="1" s="1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</row>
    <row r="273" ht="15.75" customHeight="1" s="1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</row>
    <row r="274" ht="15.75" customHeight="1" s="1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</row>
    <row r="275" ht="15.75" customHeight="1" s="1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</row>
    <row r="276" ht="15.75" customHeight="1" s="1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</row>
    <row r="277" ht="15.75" customHeight="1" s="1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</row>
    <row r="278" ht="15.75" customHeight="1" s="1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</row>
    <row r="279" ht="15.75" customHeight="1" s="1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</row>
    <row r="280" ht="15.75" customHeight="1" s="1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</row>
    <row r="281" ht="15.75" customHeight="1" s="1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</row>
    <row r="282" ht="15.75" customHeight="1" s="1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</row>
    <row r="283" ht="15.75" customHeight="1" s="1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</row>
    <row r="284" ht="15.75" customHeight="1" s="1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</row>
    <row r="285" ht="15.75" customHeight="1" s="1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</row>
    <row r="286" ht="15.75" customHeight="1" s="1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</row>
    <row r="287" ht="15.75" customHeight="1" s="1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</row>
    <row r="288" ht="15.75" customHeight="1" s="1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</row>
    <row r="289" ht="15.75" customHeight="1" s="1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</row>
    <row r="290" ht="15.75" customHeight="1" s="1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</row>
    <row r="291" ht="15.75" customHeight="1" s="1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</row>
    <row r="292" ht="15.75" customHeight="1" s="1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</row>
    <row r="293" ht="15.75" customHeight="1" s="1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</row>
    <row r="294" ht="15.75" customHeight="1" s="1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</row>
    <row r="295" ht="15.75" customHeight="1" s="1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</row>
    <row r="296" ht="15.75" customHeight="1" s="1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</row>
    <row r="297" ht="15.75" customHeight="1" s="1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</row>
    <row r="298" ht="15.75" customHeight="1" s="1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</row>
    <row r="299" ht="15.75" customHeight="1" s="1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</row>
    <row r="300" ht="15.75" customHeight="1" s="1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</row>
    <row r="301" ht="15.75" customHeight="1" s="1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</row>
    <row r="302" ht="15.75" customHeight="1" s="1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</row>
    <row r="303" ht="15.75" customHeight="1" s="1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</row>
    <row r="304" ht="15.75" customHeight="1" s="1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</row>
    <row r="305" ht="15.75" customHeight="1" s="1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</row>
    <row r="306" ht="15.75" customHeight="1" s="1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</row>
    <row r="307" ht="15.75" customHeight="1" s="1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</row>
    <row r="308" ht="15.75" customHeight="1" s="1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</row>
    <row r="309" ht="15.75" customHeight="1" s="1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</row>
    <row r="310" ht="15.75" customHeight="1" s="1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</row>
    <row r="311" ht="15.75" customHeight="1" s="1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</row>
    <row r="312" ht="15.75" customHeight="1" s="1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</row>
    <row r="313" ht="15.75" customHeight="1" s="1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</row>
    <row r="314" ht="15.75" customHeight="1" s="1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</row>
    <row r="315" ht="15.75" customHeight="1" s="1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</row>
    <row r="316" ht="15.75" customHeight="1" s="1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</row>
    <row r="317" ht="15.75" customHeight="1" s="1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</row>
    <row r="318" ht="15.75" customHeight="1" s="1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</row>
    <row r="319" ht="15.75" customHeight="1" s="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</row>
    <row r="320" ht="15.75" customHeight="1" s="1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</row>
    <row r="321" ht="15.75" customHeight="1" s="1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</row>
    <row r="322" ht="15.75" customHeight="1" s="1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</row>
    <row r="323" ht="15.75" customHeight="1" s="1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</row>
    <row r="324" ht="15.75" customHeight="1" s="1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</row>
    <row r="325" ht="15.75" customHeight="1" s="1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</row>
    <row r="326" ht="15.75" customHeight="1" s="1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</row>
    <row r="327" ht="15.75" customHeight="1" s="1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</row>
    <row r="328" ht="15.75" customHeight="1" s="1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</row>
    <row r="329" ht="15.75" customHeight="1" s="1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</row>
    <row r="330" ht="15.75" customHeight="1" s="1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</row>
    <row r="331" ht="15.75" customHeight="1" s="1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</row>
    <row r="332" ht="15.75" customHeight="1" s="1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</row>
    <row r="333" ht="15.75" customHeight="1" s="1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</row>
    <row r="334" ht="15.75" customHeight="1" s="1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</row>
    <row r="335" ht="15.75" customHeight="1" s="1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</row>
    <row r="336" ht="15.75" customHeight="1" s="1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</row>
    <row r="337" ht="15.75" customHeight="1" s="1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</row>
    <row r="338" ht="15.75" customHeight="1" s="1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</row>
    <row r="339" ht="15.75" customHeight="1" s="1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</row>
    <row r="340" ht="15.75" customHeight="1" s="1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</row>
    <row r="341" ht="15.75" customHeight="1" s="1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</row>
    <row r="342" ht="15.75" customHeight="1" s="1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</row>
    <row r="343" ht="15.75" customHeight="1" s="1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</row>
    <row r="344" ht="15.75" customHeight="1" s="1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</row>
    <row r="345" ht="15.75" customHeight="1" s="1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</row>
    <row r="346" ht="15.75" customHeight="1" s="1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</row>
    <row r="347" ht="15.75" customHeight="1" s="1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</row>
    <row r="348" ht="15.75" customHeight="1" s="1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</row>
    <row r="349" ht="15.75" customHeight="1" s="1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</row>
    <row r="350" ht="15.75" customHeight="1" s="1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</row>
    <row r="351" ht="15.75" customHeight="1" s="1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</row>
    <row r="352" ht="15.75" customHeight="1" s="1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</row>
    <row r="353" ht="15.75" customHeight="1" s="1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</row>
    <row r="354" ht="15.75" customHeight="1" s="1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</row>
    <row r="355" ht="15.75" customHeight="1" s="1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</row>
    <row r="356" ht="15.75" customHeight="1" s="1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</row>
    <row r="357" ht="15.75" customHeight="1" s="1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</row>
    <row r="358" ht="15.75" customHeight="1" s="1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</row>
    <row r="359" ht="15.75" customHeight="1" s="1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</row>
    <row r="360" ht="15.75" customHeight="1" s="1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</row>
    <row r="361" ht="15.75" customHeight="1" s="1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</row>
    <row r="362" ht="15.75" customHeight="1" s="1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</row>
    <row r="363" ht="15.75" customHeight="1" s="1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</row>
    <row r="364" ht="15.75" customHeight="1" s="1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</row>
    <row r="365" ht="15.75" customHeight="1" s="1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</row>
    <row r="366" ht="15.75" customHeight="1" s="1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</row>
    <row r="367" ht="15.75" customHeight="1" s="1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</row>
    <row r="368" ht="15.75" customHeight="1" s="1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</row>
    <row r="369" ht="15.75" customHeight="1" s="1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</row>
    <row r="370" ht="15.75" customHeight="1" s="1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</row>
    <row r="371" ht="15.75" customHeight="1" s="1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</row>
    <row r="372" ht="15.75" customHeight="1" s="1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</row>
    <row r="373" ht="15.75" customHeight="1" s="1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</row>
    <row r="374" ht="15.75" customHeight="1" s="1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</row>
    <row r="375" ht="15.75" customHeight="1" s="1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</row>
    <row r="376" ht="15.75" customHeight="1" s="1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</row>
    <row r="377" ht="15.75" customHeight="1" s="1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</row>
    <row r="378" ht="15.75" customHeight="1" s="1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</row>
    <row r="379" ht="15.75" customHeight="1" s="1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</row>
    <row r="380" ht="15.75" customHeight="1" s="1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</row>
    <row r="381" ht="15.75" customHeight="1" s="1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</row>
    <row r="382" ht="15.75" customHeight="1" s="1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</row>
    <row r="383" ht="15.75" customHeight="1" s="1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</row>
    <row r="384" ht="15.75" customHeight="1" s="1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</row>
    <row r="385" ht="15.75" customHeight="1" s="1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</row>
    <row r="386" ht="15.75" customHeight="1" s="1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</row>
    <row r="387" ht="15.75" customHeight="1" s="1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</row>
    <row r="388" ht="15.75" customHeight="1" s="1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</row>
    <row r="389" ht="15.75" customHeight="1" s="1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</row>
    <row r="390" ht="15.75" customHeight="1" s="1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</row>
    <row r="391" ht="15.75" customHeight="1" s="1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</row>
    <row r="392" ht="15.75" customHeight="1" s="1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</row>
    <row r="393" ht="15.75" customHeight="1" s="1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</row>
    <row r="394" ht="15.75" customHeight="1" s="1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</row>
    <row r="395" ht="15.75" customHeight="1" s="1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</row>
    <row r="396" ht="15.75" customHeight="1" s="1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</row>
    <row r="397" ht="15.75" customHeight="1" s="1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</row>
    <row r="398" ht="15.75" customHeight="1" s="1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</row>
    <row r="399" ht="15.75" customHeight="1" s="1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</row>
    <row r="400" ht="15.75" customHeight="1" s="1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</row>
    <row r="401" ht="15.75" customHeight="1" s="1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</row>
    <row r="402" ht="15.75" customHeight="1" s="1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</row>
    <row r="403" ht="15.75" customHeight="1" s="1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</row>
    <row r="404" ht="15.75" customHeight="1" s="1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</row>
    <row r="405" ht="15.75" customHeight="1" s="1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</row>
    <row r="406" ht="15.75" customHeight="1" s="1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</row>
    <row r="407" ht="15.75" customHeight="1" s="1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</row>
    <row r="408" ht="15.75" customHeight="1" s="1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</row>
    <row r="409" ht="15.75" customHeight="1" s="1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</row>
    <row r="410" ht="15.75" customHeight="1" s="1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</row>
    <row r="411" ht="15.75" customHeight="1" s="1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</row>
    <row r="412" ht="15.75" customHeight="1" s="1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</row>
    <row r="413" ht="15.75" customHeight="1" s="1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</row>
    <row r="414" ht="15.75" customHeight="1" s="1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</row>
    <row r="415" ht="15.75" customHeight="1" s="1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</row>
    <row r="416" ht="15.75" customHeight="1" s="1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</row>
    <row r="417" ht="15.75" customHeight="1" s="1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</row>
    <row r="418" ht="15.75" customHeight="1" s="1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</row>
    <row r="419" ht="15.75" customHeight="1" s="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</row>
    <row r="420" ht="15.75" customHeight="1" s="1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</row>
    <row r="421" ht="15.75" customHeight="1" s="1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</row>
    <row r="422" ht="15.75" customHeight="1" s="1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</row>
    <row r="423" ht="15.75" customHeight="1" s="1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</row>
    <row r="424" ht="15.75" customHeight="1" s="1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</row>
    <row r="425" ht="15.75" customHeight="1" s="1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</row>
    <row r="426" ht="15.75" customHeight="1" s="1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</row>
    <row r="427" ht="15.75" customHeight="1" s="1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</row>
    <row r="428" ht="15.75" customHeight="1" s="1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</row>
    <row r="429" ht="15.75" customHeight="1" s="1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</row>
    <row r="430" ht="15.75" customHeight="1" s="1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</row>
    <row r="431" ht="15.75" customHeight="1" s="1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</row>
    <row r="432" ht="15.75" customHeight="1" s="1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</row>
    <row r="433" ht="15.75" customHeight="1" s="1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</row>
    <row r="434" ht="15.75" customHeight="1" s="1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</row>
    <row r="435" ht="15.75" customHeight="1" s="1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</row>
    <row r="436" ht="15.75" customHeight="1" s="1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</row>
    <row r="437" ht="15.75" customHeight="1" s="1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</row>
    <row r="438" ht="15.75" customHeight="1" s="1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</row>
    <row r="439" ht="15.75" customHeight="1" s="1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</row>
    <row r="440" ht="15.75" customHeight="1" s="1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</row>
    <row r="441" ht="15.75" customHeight="1" s="1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</row>
    <row r="442" ht="15.75" customHeight="1" s="1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</row>
    <row r="443" ht="15.75" customHeight="1" s="1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</row>
    <row r="444" ht="15.75" customHeight="1" s="1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</row>
    <row r="445" ht="15.75" customHeight="1" s="1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</row>
    <row r="446" ht="15.75" customHeight="1" s="1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</row>
    <row r="447" ht="15.75" customHeight="1" s="1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</row>
    <row r="448" ht="15.75" customHeight="1" s="1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</row>
    <row r="449" ht="15.75" customHeight="1" s="1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</row>
    <row r="450" ht="15.75" customHeight="1" s="1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</row>
    <row r="451" ht="15.75" customHeight="1" s="1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</row>
    <row r="452" ht="15.75" customHeight="1" s="1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</row>
    <row r="453" ht="15.75" customHeight="1" s="1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</row>
    <row r="454" ht="15.75" customHeight="1" s="1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</row>
    <row r="455" ht="15.75" customHeight="1" s="1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</row>
    <row r="456" ht="15.75" customHeight="1" s="1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</row>
    <row r="457" ht="15.75" customHeight="1" s="1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</row>
    <row r="458" ht="15.75" customHeight="1" s="1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</row>
    <row r="459" ht="15.75" customHeight="1" s="1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</row>
    <row r="460" ht="15.75" customHeight="1" s="1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</row>
    <row r="461" ht="15.75" customHeight="1" s="1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</row>
    <row r="462" ht="15.75" customHeight="1" s="1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</row>
    <row r="463" ht="15.75" customHeight="1" s="1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</row>
    <row r="464" ht="15.75" customHeight="1" s="1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</row>
    <row r="465" ht="15.75" customHeight="1" s="1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</row>
    <row r="466" ht="15.75" customHeight="1" s="1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</row>
    <row r="467" ht="15.75" customHeight="1" s="1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</row>
    <row r="468" ht="15.75" customHeight="1" s="1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</row>
    <row r="469" ht="15.75" customHeight="1" s="1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</row>
    <row r="470" ht="15.75" customHeight="1" s="1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</row>
    <row r="471" ht="15.75" customHeight="1" s="1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</row>
    <row r="472" ht="15.75" customHeight="1" s="1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</row>
    <row r="473" ht="15.75" customHeight="1" s="1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</row>
    <row r="474" ht="15.75" customHeight="1" s="1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</row>
    <row r="475" ht="15.75" customHeight="1" s="1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</row>
    <row r="476" ht="15.75" customHeight="1" s="1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</row>
    <row r="477" ht="15.75" customHeight="1" s="1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</row>
    <row r="478" ht="15.75" customHeight="1" s="1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</row>
    <row r="479" ht="15.75" customHeight="1" s="1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</row>
    <row r="480" ht="15.75" customHeight="1" s="1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</row>
    <row r="481" ht="15.75" customHeight="1" s="1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</row>
    <row r="482" ht="15.75" customHeight="1" s="1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</row>
    <row r="483" ht="15.75" customHeight="1" s="1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</row>
    <row r="484" ht="15.75" customHeight="1" s="1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</row>
    <row r="485" ht="15.75" customHeight="1" s="1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</row>
    <row r="486" ht="15.75" customHeight="1" s="1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</row>
    <row r="487" ht="15.75" customHeight="1" s="1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</row>
    <row r="488" ht="15.75" customHeight="1" s="1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</row>
    <row r="489" ht="15.75" customHeight="1" s="1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</row>
    <row r="490" ht="15.75" customHeight="1" s="1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</row>
    <row r="491" ht="15.75" customHeight="1" s="1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</row>
    <row r="492" ht="15.75" customHeight="1" s="1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</row>
    <row r="493" ht="15.75" customHeight="1" s="1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</row>
    <row r="494" ht="15.75" customHeight="1" s="1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</row>
    <row r="495" ht="15.75" customHeight="1" s="1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</row>
    <row r="496" ht="15.75" customHeight="1" s="1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</row>
    <row r="497" ht="15.75" customHeight="1" s="1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</row>
    <row r="498" ht="15.75" customHeight="1" s="1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</row>
    <row r="499" ht="15.75" customHeight="1" s="1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</row>
    <row r="500" ht="15.75" customHeight="1" s="1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</row>
    <row r="501" ht="15.75" customHeight="1" s="1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</row>
    <row r="502" ht="15.75" customHeight="1" s="1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</row>
    <row r="503" ht="15.75" customHeight="1" s="1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</row>
    <row r="504" ht="15.75" customHeight="1" s="1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</row>
    <row r="505" ht="15.75" customHeight="1" s="1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</row>
    <row r="506" ht="15.75" customHeight="1" s="1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</row>
    <row r="507" ht="15.75" customHeight="1" s="1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</row>
    <row r="508" ht="15.75" customHeight="1" s="1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</row>
    <row r="509" ht="15.75" customHeight="1" s="1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</row>
    <row r="510" ht="15.75" customHeight="1" s="1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</row>
    <row r="511" ht="15.75" customHeight="1" s="1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</row>
    <row r="512" ht="15.75" customHeight="1" s="1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</row>
    <row r="513" ht="15.75" customHeight="1" s="1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</row>
    <row r="514" ht="15.75" customHeight="1" s="1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</row>
    <row r="515" ht="15.75" customHeight="1" s="1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</row>
    <row r="516" ht="15.75" customHeight="1" s="1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</row>
    <row r="517" ht="15.75" customHeight="1" s="1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</row>
    <row r="518" ht="15.75" customHeight="1" s="1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</row>
    <row r="519" ht="15.75" customHeight="1" s="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</row>
    <row r="520" ht="15.75" customHeight="1" s="1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</row>
    <row r="521" ht="15.75" customHeight="1" s="1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</row>
    <row r="522" ht="15.75" customHeight="1" s="1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</row>
    <row r="523" ht="15.75" customHeight="1" s="1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</row>
    <row r="524" ht="15.75" customHeight="1" s="1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</row>
    <row r="525" ht="15.75" customHeight="1" s="1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</row>
    <row r="526" ht="15.75" customHeight="1" s="1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</row>
    <row r="527" ht="15.75" customHeight="1" s="1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</row>
    <row r="528" ht="15.75" customHeight="1" s="1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</row>
    <row r="529" ht="15.75" customHeight="1" s="1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</row>
    <row r="530" ht="15.75" customHeight="1" s="1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</row>
    <row r="531" ht="15.75" customHeight="1" s="1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</row>
    <row r="532" ht="15.75" customHeight="1" s="1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</row>
    <row r="533" ht="15.75" customHeight="1" s="1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</row>
    <row r="534" ht="15.75" customHeight="1" s="1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</row>
    <row r="535" ht="15.75" customHeight="1" s="1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</row>
    <row r="536" ht="15.75" customHeight="1" s="1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</row>
    <row r="537" ht="15.75" customHeight="1" s="1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</row>
    <row r="538" ht="15.75" customHeight="1" s="1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</row>
    <row r="539" ht="15.75" customHeight="1" s="1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</row>
    <row r="540" ht="15.75" customHeight="1" s="1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</row>
    <row r="541" ht="15.75" customHeight="1" s="1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</row>
    <row r="542" ht="15.75" customHeight="1" s="1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</row>
    <row r="543" ht="15.75" customHeight="1" s="1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</row>
    <row r="544" ht="15.75" customHeight="1" s="1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</row>
    <row r="545" ht="15.75" customHeight="1" s="1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</row>
    <row r="546" ht="15.75" customHeight="1" s="1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</row>
    <row r="547" ht="15.75" customHeight="1" s="1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</row>
    <row r="548" ht="15.75" customHeight="1" s="1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</row>
    <row r="549" ht="15.75" customHeight="1" s="1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</row>
    <row r="550" ht="15.75" customHeight="1" s="1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</row>
    <row r="551" ht="15.75" customHeight="1" s="1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</row>
    <row r="552" ht="15.75" customHeight="1" s="1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</row>
    <row r="553" ht="15.75" customHeight="1" s="1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</row>
    <row r="554" ht="15.75" customHeight="1" s="1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</row>
    <row r="555" ht="15.75" customHeight="1" s="1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</row>
    <row r="556" ht="15.75" customHeight="1" s="1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</row>
    <row r="557" ht="15.75" customHeight="1" s="1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</row>
    <row r="558" ht="15.75" customHeight="1" s="1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</row>
    <row r="559" ht="15.75" customHeight="1" s="1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</row>
    <row r="560" ht="15.75" customHeight="1" s="1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</row>
    <row r="561" ht="15.75" customHeight="1" s="1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</row>
    <row r="562" ht="15.75" customHeight="1" s="1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</row>
    <row r="563" ht="15.75" customHeight="1" s="1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</row>
    <row r="564" ht="15.75" customHeight="1" s="1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</row>
    <row r="565" ht="15.75" customHeight="1" s="1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</row>
    <row r="566" ht="15.75" customHeight="1" s="1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</row>
    <row r="567" ht="15.75" customHeight="1" s="1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</row>
    <row r="568" ht="15.75" customHeight="1" s="1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</row>
    <row r="569" ht="15.75" customHeight="1" s="1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</row>
    <row r="570" ht="15.75" customHeight="1" s="1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</row>
    <row r="571" ht="15.75" customHeight="1" s="1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</row>
    <row r="572" ht="15.75" customHeight="1" s="1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</row>
    <row r="573" ht="15.75" customHeight="1" s="1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</row>
    <row r="574" ht="15.75" customHeight="1" s="1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</row>
    <row r="575" ht="15.75" customHeight="1" s="1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</row>
    <row r="576" ht="15.75" customHeight="1" s="1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</row>
    <row r="577" ht="15.75" customHeight="1" s="1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</row>
    <row r="578" ht="15.75" customHeight="1" s="1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</row>
    <row r="579" ht="15.75" customHeight="1" s="1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</row>
    <row r="580" ht="15.75" customHeight="1" s="1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</row>
    <row r="581" ht="15.75" customHeight="1" s="1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</row>
    <row r="582" ht="15.75" customHeight="1" s="1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</row>
    <row r="583" ht="15.75" customHeight="1" s="1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</row>
    <row r="584" ht="15.75" customHeight="1" s="1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</row>
    <row r="585" ht="15.75" customHeight="1" s="1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</row>
    <row r="586" ht="15.75" customHeight="1" s="1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</row>
    <row r="587" ht="15.75" customHeight="1" s="1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</row>
    <row r="588" ht="15.75" customHeight="1" s="1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</row>
    <row r="589" ht="15.75" customHeight="1" s="1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</row>
    <row r="590" ht="15.75" customHeight="1" s="1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</row>
    <row r="591" ht="15.75" customHeight="1" s="1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</row>
    <row r="592" ht="15.75" customHeight="1" s="1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</row>
    <row r="593" ht="15.75" customHeight="1" s="1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</row>
    <row r="594" ht="15.75" customHeight="1" s="1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</row>
    <row r="595" ht="15.75" customHeight="1" s="1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</row>
    <row r="596" ht="15.75" customHeight="1" s="1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</row>
    <row r="597" ht="15.75" customHeight="1" s="1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</row>
    <row r="598" ht="15.75" customHeight="1" s="1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</row>
    <row r="599" ht="15.75" customHeight="1" s="1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</row>
    <row r="600" ht="15.75" customHeight="1" s="1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</row>
    <row r="601" ht="15.75" customHeight="1" s="1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</row>
    <row r="602" ht="15.75" customHeight="1" s="1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</row>
    <row r="603" ht="15.75" customHeight="1" s="1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</row>
    <row r="604" ht="15.75" customHeight="1" s="1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</row>
    <row r="605" ht="15.75" customHeight="1" s="1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</row>
    <row r="606" ht="15.75" customHeight="1" s="1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</row>
    <row r="607" ht="15.75" customHeight="1" s="1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</row>
    <row r="608" ht="15.75" customHeight="1" s="1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</row>
    <row r="609" ht="15.75" customHeight="1" s="1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</row>
    <row r="610" ht="15.75" customHeight="1" s="1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</row>
    <row r="611" ht="15.75" customHeight="1" s="1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</row>
    <row r="612" ht="15.75" customHeight="1" s="1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</row>
    <row r="613" ht="15.75" customHeight="1" s="1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</row>
    <row r="614" ht="15.75" customHeight="1" s="1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</row>
    <row r="615" ht="15.75" customHeight="1" s="1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</row>
    <row r="616" ht="15.75" customHeight="1" s="1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</row>
    <row r="617" ht="15.75" customHeight="1" s="1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</row>
    <row r="618" ht="15.75" customHeight="1" s="1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</row>
    <row r="619" ht="15.75" customHeight="1" s="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</row>
    <row r="620" ht="15.75" customHeight="1" s="1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</row>
    <row r="621" ht="15.75" customHeight="1" s="1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</row>
    <row r="622" ht="15.75" customHeight="1" s="1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</row>
    <row r="623" ht="15.75" customHeight="1" s="1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</row>
    <row r="624" ht="15.75" customHeight="1" s="1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</row>
    <row r="625" ht="15.75" customHeight="1" s="1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</row>
    <row r="626" ht="15.75" customHeight="1" s="1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</row>
    <row r="627" ht="15.75" customHeight="1" s="1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</row>
    <row r="628" ht="15.75" customHeight="1" s="1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</row>
    <row r="629" ht="15.75" customHeight="1" s="1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</row>
    <row r="630" ht="15.75" customHeight="1" s="1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</row>
    <row r="631" ht="15.75" customHeight="1" s="1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</row>
    <row r="632" ht="15.75" customHeight="1" s="1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</row>
    <row r="633" ht="15.75" customHeight="1" s="1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</row>
    <row r="634" ht="15.75" customHeight="1" s="1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</row>
    <row r="635" ht="15.75" customHeight="1" s="1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</row>
    <row r="636" ht="15.75" customHeight="1" s="1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</row>
    <row r="637" ht="15.75" customHeight="1" s="1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</row>
    <row r="638" ht="15.75" customHeight="1" s="1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</row>
    <row r="639" ht="15.75" customHeight="1" s="1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</row>
    <row r="640" ht="15.75" customHeight="1" s="1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</row>
    <row r="641" ht="15.75" customHeight="1" s="1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</row>
    <row r="642" ht="15.75" customHeight="1" s="1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</row>
    <row r="643" ht="15.75" customHeight="1" s="1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</row>
    <row r="644" ht="15.75" customHeight="1" s="1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</row>
    <row r="645" ht="15.75" customHeight="1" s="1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</row>
    <row r="646" ht="15.75" customHeight="1" s="1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</row>
    <row r="647" ht="15.75" customHeight="1" s="1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</row>
    <row r="648" ht="15.75" customHeight="1" s="1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</row>
    <row r="649" ht="15.75" customHeight="1" s="1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</row>
    <row r="650" ht="15.75" customHeight="1" s="1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</row>
    <row r="651" ht="15.75" customHeight="1" s="1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</row>
    <row r="652" ht="15.75" customHeight="1" s="1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</row>
    <row r="653" ht="15.75" customHeight="1" s="1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</row>
    <row r="654" ht="15.75" customHeight="1" s="1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</row>
    <row r="655" ht="15.75" customHeight="1" s="1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</row>
    <row r="656" ht="15.75" customHeight="1" s="1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</row>
    <row r="657" ht="15.75" customHeight="1" s="1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</row>
    <row r="658" ht="15.75" customHeight="1" s="1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</row>
    <row r="659" ht="15.75" customHeight="1" s="1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</row>
    <row r="660" ht="15.75" customHeight="1" s="1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</row>
    <row r="661" ht="15.75" customHeight="1" s="1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</row>
    <row r="662" ht="15.75" customHeight="1" s="1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</row>
    <row r="663" ht="15.75" customHeight="1" s="1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</row>
    <row r="664" ht="15.75" customHeight="1" s="1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</row>
    <row r="665" ht="15.75" customHeight="1" s="1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</row>
    <row r="666" ht="15.75" customHeight="1" s="1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</row>
    <row r="667" ht="15.75" customHeight="1" s="1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</row>
    <row r="668" ht="15.75" customHeight="1" s="1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</row>
    <row r="669" ht="15.75" customHeight="1" s="1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</row>
    <row r="670" ht="15.75" customHeight="1" s="1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</row>
    <row r="671" ht="15.75" customHeight="1" s="1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</row>
    <row r="672" ht="15.75" customHeight="1" s="1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</row>
    <row r="673" ht="15.75" customHeight="1" s="1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</row>
    <row r="674" ht="15.75" customHeight="1" s="1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</row>
    <row r="675" ht="15.75" customHeight="1" s="1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</row>
    <row r="676" ht="15.75" customHeight="1" s="1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</row>
    <row r="677" ht="15.75" customHeight="1" s="1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</row>
    <row r="678" ht="15.75" customHeight="1" s="1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</row>
    <row r="679" ht="15.75" customHeight="1" s="1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</row>
    <row r="680" ht="15.75" customHeight="1" s="1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</row>
    <row r="681" ht="15.75" customHeight="1" s="1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</row>
    <row r="682" ht="15.75" customHeight="1" s="1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</row>
    <row r="683" ht="15.75" customHeight="1" s="1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</row>
    <row r="684" ht="15.75" customHeight="1" s="1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</row>
    <row r="685" ht="15.75" customHeight="1" s="1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</row>
    <row r="686" ht="15.75" customHeight="1" s="1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</row>
    <row r="687" ht="15.75" customHeight="1" s="1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</row>
    <row r="688" ht="15.75" customHeight="1" s="1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</row>
    <row r="689" ht="15.75" customHeight="1" s="1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</row>
    <row r="690" ht="15.75" customHeight="1" s="1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</row>
    <row r="691" ht="15.75" customHeight="1" s="1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</row>
    <row r="692" ht="15.75" customHeight="1" s="1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</row>
    <row r="693" ht="15.75" customHeight="1" s="1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</row>
    <row r="694" ht="15.75" customHeight="1" s="1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</row>
    <row r="695" ht="15.75" customHeight="1" s="1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</row>
    <row r="696" ht="15.75" customHeight="1" s="1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</row>
    <row r="697" ht="15.75" customHeight="1" s="1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</row>
    <row r="698" ht="15.75" customHeight="1" s="1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</row>
    <row r="699" ht="15.75" customHeight="1" s="1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</row>
    <row r="700" ht="15.75" customHeight="1" s="1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</row>
    <row r="701" ht="15.75" customHeight="1" s="1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</row>
    <row r="702" ht="15.75" customHeight="1" s="1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</row>
    <row r="703" ht="15.75" customHeight="1" s="1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</row>
    <row r="704" ht="15.75" customHeight="1" s="1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</row>
    <row r="705" ht="15.75" customHeight="1" s="1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</row>
    <row r="706" ht="15.75" customHeight="1" s="1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</row>
    <row r="707" ht="15.75" customHeight="1" s="1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</row>
    <row r="708" ht="15.75" customHeight="1" s="1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</row>
    <row r="709" ht="15.75" customHeight="1" s="1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</row>
    <row r="710" ht="15.75" customHeight="1" s="1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</row>
    <row r="711" ht="15.75" customHeight="1" s="1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</row>
    <row r="712" ht="15.75" customHeight="1" s="1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</row>
    <row r="713" ht="15.75" customHeight="1" s="1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</row>
    <row r="714" ht="15.75" customHeight="1" s="1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</row>
    <row r="715" ht="15.75" customHeight="1" s="1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</row>
    <row r="716" ht="15.75" customHeight="1" s="1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</row>
    <row r="717" ht="15.75" customHeight="1" s="1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</row>
    <row r="718" ht="15.75" customHeight="1" s="1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</row>
    <row r="719" ht="15.75" customHeight="1" s="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</row>
    <row r="720" ht="15.75" customHeight="1" s="1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</row>
    <row r="721" ht="15.75" customHeight="1" s="1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</row>
    <row r="722" ht="15.75" customHeight="1" s="1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</row>
    <row r="723" ht="15.75" customHeight="1" s="1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</row>
    <row r="724" ht="15.75" customHeight="1" s="1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</row>
    <row r="725" ht="15.75" customHeight="1" s="1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</row>
    <row r="726" ht="15.75" customHeight="1" s="1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</row>
    <row r="727" ht="15.75" customHeight="1" s="1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</row>
    <row r="728" ht="15.75" customHeight="1" s="1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</row>
    <row r="729" ht="15.75" customHeight="1" s="1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</row>
    <row r="730" ht="15.75" customHeight="1" s="1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</row>
    <row r="731" ht="15.75" customHeight="1" s="1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</row>
    <row r="732" ht="15.75" customHeight="1" s="1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</row>
    <row r="733" ht="15.75" customHeight="1" s="1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</row>
    <row r="734" ht="15.75" customHeight="1" s="1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</row>
    <row r="735" ht="15.75" customHeight="1" s="1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</row>
    <row r="736" ht="15.75" customHeight="1" s="1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</row>
    <row r="737" ht="15.75" customHeight="1" s="1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</row>
    <row r="738" ht="15.75" customHeight="1" s="1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</row>
    <row r="739" ht="15.75" customHeight="1" s="1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</row>
    <row r="740" ht="15.75" customHeight="1" s="1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</row>
    <row r="741" ht="15.75" customHeight="1" s="1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</row>
    <row r="742" ht="15.75" customHeight="1" s="1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</row>
    <row r="743" ht="15.75" customHeight="1" s="1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</row>
    <row r="744" ht="15.75" customHeight="1" s="1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</row>
    <row r="745" ht="15.75" customHeight="1" s="1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</row>
    <row r="746" ht="15.75" customHeight="1" s="1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</row>
    <row r="747" ht="15.75" customHeight="1" s="1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</row>
    <row r="748" ht="15.75" customHeight="1" s="1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</row>
    <row r="749" ht="15.75" customHeight="1" s="1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</row>
    <row r="750" ht="15.75" customHeight="1" s="1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</row>
    <row r="751" ht="15.75" customHeight="1" s="1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</row>
    <row r="752" ht="15.75" customHeight="1" s="1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</row>
    <row r="753" ht="15.75" customHeight="1" s="1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</row>
    <row r="754" ht="15.75" customHeight="1" s="1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</row>
    <row r="755" ht="15.75" customHeight="1" s="1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</row>
    <row r="756" ht="15.75" customHeight="1" s="1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</row>
    <row r="757" ht="15.75" customHeight="1" s="1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</row>
    <row r="758" ht="15.75" customHeight="1" s="1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</row>
    <row r="759" ht="15.75" customHeight="1" s="1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</row>
    <row r="760" ht="15.75" customHeight="1" s="1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</row>
    <row r="761" ht="15.75" customHeight="1" s="1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</row>
    <row r="762" ht="15.75" customHeight="1" s="1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</row>
    <row r="763" ht="15.75" customHeight="1" s="1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</row>
    <row r="764" ht="15.75" customHeight="1" s="1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</row>
    <row r="765" ht="15.75" customHeight="1" s="1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</row>
    <row r="766" ht="15.75" customHeight="1" s="1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</row>
    <row r="767" ht="15.75" customHeight="1" s="1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</row>
    <row r="768" ht="15.75" customHeight="1" s="1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</row>
    <row r="769" ht="15.75" customHeight="1" s="1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</row>
    <row r="770" ht="15.75" customHeight="1" s="1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</row>
    <row r="771" ht="15.75" customHeight="1" s="1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</row>
    <row r="772" ht="15.75" customHeight="1" s="1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</row>
    <row r="773" ht="15.75" customHeight="1" s="1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</row>
    <row r="774" ht="15.75" customHeight="1" s="1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</row>
    <row r="775" ht="15.75" customHeight="1" s="1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</row>
    <row r="776" ht="15.75" customHeight="1" s="1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</row>
    <row r="777" ht="15.75" customHeight="1" s="1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</row>
    <row r="778" ht="15.75" customHeight="1" s="1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</row>
    <row r="779" ht="15.75" customHeight="1" s="1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</row>
    <row r="780" ht="15.75" customHeight="1" s="1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</row>
    <row r="781" ht="15.75" customHeight="1" s="1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</row>
    <row r="782" ht="15.75" customHeight="1" s="1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</row>
    <row r="783" ht="15.75" customHeight="1" s="1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</row>
    <row r="784" ht="15.75" customHeight="1" s="1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</row>
    <row r="785" ht="15.75" customHeight="1" s="1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</row>
    <row r="786" ht="15.75" customHeight="1" s="1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</row>
    <row r="787" ht="15.75" customHeight="1" s="1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</row>
    <row r="788" ht="15.75" customHeight="1" s="1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</row>
    <row r="789" ht="15.75" customHeight="1" s="1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</row>
    <row r="790" ht="15.75" customHeight="1" s="1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</row>
    <row r="791" ht="15.75" customHeight="1" s="1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</row>
    <row r="792" ht="15.75" customHeight="1" s="1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</row>
    <row r="793" ht="15.75" customHeight="1" s="1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</row>
    <row r="794" ht="15.75" customHeight="1" s="1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</row>
    <row r="795" ht="15.75" customHeight="1" s="1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</row>
    <row r="796" ht="15.75" customHeight="1" s="1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</row>
    <row r="797" ht="15.75" customHeight="1" s="1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</row>
    <row r="798" ht="15.75" customHeight="1" s="1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</row>
    <row r="799" ht="15.75" customHeight="1" s="1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</row>
    <row r="800" ht="15.75" customHeight="1" s="1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</row>
    <row r="801" ht="15.75" customHeight="1" s="1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</row>
    <row r="802" ht="15.75" customHeight="1" s="1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</row>
    <row r="803" ht="15.75" customHeight="1" s="1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</row>
    <row r="804" ht="15.75" customHeight="1" s="1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</row>
    <row r="805" ht="15.75" customHeight="1" s="1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</row>
    <row r="806" ht="15.75" customHeight="1" s="1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</row>
    <row r="807" ht="15.75" customHeight="1" s="1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</row>
    <row r="808" ht="15.75" customHeight="1" s="1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</row>
    <row r="809" ht="15.75" customHeight="1" s="1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</row>
    <row r="810" ht="15.75" customHeight="1" s="1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</row>
    <row r="811" ht="15.75" customHeight="1" s="1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</row>
    <row r="812" ht="15.75" customHeight="1" s="1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</row>
    <row r="813" ht="15.75" customHeight="1" s="1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</row>
    <row r="814" ht="15.75" customHeight="1" s="1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</row>
    <row r="815" ht="15.75" customHeight="1" s="1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</row>
    <row r="816" ht="15.75" customHeight="1" s="1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</row>
    <row r="817" ht="15.75" customHeight="1" s="1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</row>
    <row r="818" ht="15.75" customHeight="1" s="1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</row>
    <row r="819" ht="15.75" customHeight="1" s="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</row>
    <row r="820" ht="15.75" customHeight="1" s="1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</row>
    <row r="821" ht="15.75" customHeight="1" s="1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</row>
    <row r="822" ht="15.75" customHeight="1" s="1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</row>
    <row r="823" ht="15.75" customHeight="1" s="1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</row>
    <row r="824" ht="15.75" customHeight="1" s="1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</row>
    <row r="825" ht="15.75" customHeight="1" s="1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</row>
    <row r="826" ht="15.75" customHeight="1" s="1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</row>
    <row r="827" ht="15.75" customHeight="1" s="1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</row>
    <row r="828" ht="15.75" customHeight="1" s="1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</row>
    <row r="829" ht="15.75" customHeight="1" s="1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</row>
    <row r="830" ht="15.75" customHeight="1" s="1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</row>
    <row r="831" ht="15.75" customHeight="1" s="1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</row>
    <row r="832" ht="15.75" customHeight="1" s="1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</row>
    <row r="833" ht="15.75" customHeight="1" s="1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</row>
    <row r="834" ht="15.75" customHeight="1" s="1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</row>
    <row r="835" ht="15.75" customHeight="1" s="1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</row>
    <row r="836" ht="15.75" customHeight="1" s="1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</row>
    <row r="837" ht="15.75" customHeight="1" s="1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</row>
    <row r="838" ht="15.75" customHeight="1" s="1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</row>
    <row r="839" ht="15.75" customHeight="1" s="1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</row>
    <row r="840" ht="15.75" customHeight="1" s="1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</row>
    <row r="841" ht="15.75" customHeight="1" s="1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</row>
    <row r="842" ht="15.75" customHeight="1" s="1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</row>
    <row r="843" ht="15.75" customHeight="1" s="1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</row>
    <row r="844" ht="15.75" customHeight="1" s="1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</row>
    <row r="845" ht="15.75" customHeight="1" s="1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</row>
    <row r="846" ht="15.75" customHeight="1" s="1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</row>
    <row r="847" ht="15.75" customHeight="1" s="1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</row>
    <row r="848" ht="15.75" customHeight="1" s="1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</row>
    <row r="849" ht="15.75" customHeight="1" s="1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</row>
    <row r="850" ht="15.75" customHeight="1" s="1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</row>
    <row r="851" ht="15.75" customHeight="1" s="1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</row>
    <row r="852" ht="15.75" customHeight="1" s="1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</row>
    <row r="853" ht="15.75" customHeight="1" s="1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</row>
    <row r="854" ht="15.75" customHeight="1" s="1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</row>
    <row r="855" ht="15.75" customHeight="1" s="1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</row>
    <row r="856" ht="15.75" customHeight="1" s="1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</row>
    <row r="857" ht="15.75" customHeight="1" s="1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</row>
    <row r="858" ht="15.75" customHeight="1" s="1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</row>
    <row r="859" ht="15.75" customHeight="1" s="1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</row>
    <row r="860" ht="15.75" customHeight="1" s="1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</row>
    <row r="861" ht="15.75" customHeight="1" s="1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</row>
    <row r="862" ht="15.75" customHeight="1" s="1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</row>
    <row r="863" ht="15.75" customHeight="1" s="1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</row>
    <row r="864" ht="15.75" customHeight="1" s="1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</row>
    <row r="865" ht="15.75" customHeight="1" s="1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</row>
    <row r="866" ht="15.75" customHeight="1" s="1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</row>
    <row r="867" ht="15.75" customHeight="1" s="1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</row>
    <row r="868" ht="15.75" customHeight="1" s="1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</row>
    <row r="869" ht="15.75" customHeight="1" s="1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</row>
    <row r="870" ht="15.75" customHeight="1" s="1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</row>
    <row r="871" ht="15.75" customHeight="1" s="1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</row>
    <row r="872" ht="15.75" customHeight="1" s="1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</row>
    <row r="873" ht="15.75" customHeight="1" s="1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</row>
    <row r="874" ht="15.75" customHeight="1" s="1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</row>
    <row r="875" ht="15.75" customHeight="1" s="1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</row>
    <row r="876" ht="15.75" customHeight="1" s="1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</row>
    <row r="877" ht="15.75" customHeight="1" s="1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</row>
    <row r="878" ht="15.75" customHeight="1" s="1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</row>
    <row r="879" ht="15.75" customHeight="1" s="1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</row>
    <row r="880" ht="15.75" customHeight="1" s="1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</row>
    <row r="881" ht="15.75" customHeight="1" s="1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</row>
    <row r="882" ht="15.75" customHeight="1" s="1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</row>
    <row r="883" ht="15.75" customHeight="1" s="1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</row>
    <row r="884" ht="15.75" customHeight="1" s="1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</row>
    <row r="885" ht="15.75" customHeight="1" s="1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</row>
    <row r="886" ht="15.75" customHeight="1" s="1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</row>
    <row r="887" ht="15.75" customHeight="1" s="1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</row>
    <row r="888" ht="15.75" customHeight="1" s="1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</row>
    <row r="889" ht="15.75" customHeight="1" s="1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</row>
    <row r="890" ht="15.75" customHeight="1" s="1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</row>
    <row r="891" ht="15.75" customHeight="1" s="1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</row>
    <row r="892" ht="15.75" customHeight="1" s="1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</row>
    <row r="893" ht="15.75" customHeight="1" s="1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</row>
    <row r="894" ht="15.75" customHeight="1" s="1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</row>
    <row r="895" ht="15.75" customHeight="1" s="1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</row>
    <row r="896" ht="15.75" customHeight="1" s="1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</row>
    <row r="897" ht="15.75" customHeight="1" s="1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</row>
    <row r="898" ht="15.75" customHeight="1" s="1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</row>
    <row r="899" ht="15.75" customHeight="1" s="1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</row>
    <row r="900" ht="15.75" customHeight="1" s="1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</row>
    <row r="901" ht="15.75" customHeight="1" s="1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</row>
    <row r="902" ht="15.75" customHeight="1" s="1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</row>
    <row r="903" ht="15.75" customHeight="1" s="1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</row>
    <row r="904" ht="15.75" customHeight="1" s="1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</row>
    <row r="905" ht="15.75" customHeight="1" s="1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</row>
    <row r="906" ht="15.75" customHeight="1" s="1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</row>
    <row r="907" ht="15.75" customHeight="1" s="1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</row>
    <row r="908" ht="15.75" customHeight="1" s="1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</row>
    <row r="909" ht="15.75" customHeight="1" s="1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</row>
    <row r="910" ht="15.75" customHeight="1" s="1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</row>
    <row r="911" ht="15.75" customHeight="1" s="1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</row>
    <row r="912" ht="15.75" customHeight="1" s="1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</row>
    <row r="913" ht="15.75" customHeight="1" s="1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</row>
    <row r="914" ht="15.75" customHeight="1" s="1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</row>
    <row r="915" ht="15.75" customHeight="1" s="1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</row>
    <row r="916" ht="15.75" customHeight="1" s="1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</row>
    <row r="917" ht="15.75" customHeight="1" s="1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</row>
    <row r="918" ht="15.75" customHeight="1" s="1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</row>
    <row r="919" ht="15.75" customHeight="1" s="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</row>
    <row r="920" ht="15.75" customHeight="1" s="1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</row>
    <row r="921" ht="15.75" customHeight="1" s="1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</row>
    <row r="922" ht="15.75" customHeight="1" s="1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</row>
    <row r="923" ht="15.75" customHeight="1" s="1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</row>
    <row r="924" ht="15.75" customHeight="1" s="1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</row>
    <row r="925" ht="15.75" customHeight="1" s="1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</row>
    <row r="926" ht="15.75" customHeight="1" s="1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</row>
    <row r="927" ht="15.75" customHeight="1" s="1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</row>
    <row r="928" ht="15.75" customHeight="1" s="1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</row>
    <row r="929" ht="15.75" customHeight="1" s="1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</row>
    <row r="930" ht="15.75" customHeight="1" s="1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</row>
    <row r="931" ht="15.75" customHeight="1" s="1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</row>
    <row r="932" ht="15.75" customHeight="1" s="1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</row>
    <row r="933" ht="15.75" customHeight="1" s="1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</row>
    <row r="934" ht="15.75" customHeight="1" s="1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</row>
    <row r="935" ht="15.75" customHeight="1" s="1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</row>
    <row r="936" ht="15.75" customHeight="1" s="1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</row>
    <row r="937" ht="15.75" customHeight="1" s="1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</row>
    <row r="938" ht="15.75" customHeight="1" s="1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</row>
    <row r="939" ht="15.75" customHeight="1" s="1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</row>
    <row r="940" ht="15.75" customHeight="1" s="1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</row>
    <row r="941" ht="15.75" customHeight="1" s="1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</row>
    <row r="942" ht="15.75" customHeight="1" s="1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</row>
    <row r="943" ht="15.75" customHeight="1" s="1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</row>
    <row r="944" ht="15.75" customHeight="1" s="1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</row>
    <row r="945" ht="15.75" customHeight="1" s="1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</row>
    <row r="946" ht="15.75" customHeight="1" s="1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</row>
    <row r="947" ht="15.75" customHeight="1" s="1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</row>
    <row r="948" ht="15.75" customHeight="1" s="1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</row>
    <row r="949" ht="15.75" customHeight="1" s="1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</row>
    <row r="950" ht="15.75" customHeight="1" s="1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</row>
    <row r="951" ht="15.75" customHeight="1" s="1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</row>
    <row r="952" ht="15.75" customHeight="1" s="1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</row>
    <row r="953" ht="15.75" customHeight="1" s="1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</row>
    <row r="954" ht="15.75" customHeight="1" s="1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</row>
    <row r="955" ht="15.75" customHeight="1" s="1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</row>
    <row r="956" ht="15.75" customHeight="1" s="1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</row>
    <row r="957" ht="15.75" customHeight="1" s="1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</row>
    <row r="958" ht="15.75" customHeight="1" s="1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</row>
    <row r="959" ht="15.75" customHeight="1" s="1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</row>
    <row r="960" ht="15.75" customHeight="1" s="1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</row>
    <row r="961" ht="15.75" customHeight="1" s="1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</row>
    <row r="962" ht="15.75" customHeight="1" s="1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</row>
    <row r="963" ht="15.75" customHeight="1" s="1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</row>
    <row r="964" ht="15.75" customHeight="1" s="1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</row>
    <row r="965" ht="15.75" customHeight="1" s="1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</row>
    <row r="966" ht="15.75" customHeight="1" s="1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</row>
    <row r="967" ht="15.75" customHeight="1" s="1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</row>
    <row r="968" ht="15.75" customHeight="1" s="1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</row>
    <row r="969" ht="15.75" customHeight="1" s="1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</row>
    <row r="970" ht="15.75" customHeight="1" s="1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</row>
    <row r="971" ht="15.75" customHeight="1" s="1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</row>
    <row r="972" ht="15.75" customHeight="1" s="1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</row>
    <row r="973" ht="15.75" customHeight="1" s="1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</row>
    <row r="974" ht="15.75" customHeight="1" s="1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</row>
    <row r="975" ht="15.75" customHeight="1" s="1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</row>
    <row r="976" ht="15.75" customHeight="1" s="1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</row>
    <row r="977" ht="15.75" customHeight="1" s="1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</row>
    <row r="978" ht="15.75" customHeight="1" s="1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</row>
    <row r="979" ht="15.75" customHeight="1" s="1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</row>
    <row r="980" ht="15.75" customHeight="1" s="1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</row>
    <row r="981" ht="15.75" customHeight="1" s="1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</row>
    <row r="982" ht="15.75" customHeight="1" s="1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</row>
    <row r="983" ht="15.75" customHeight="1" s="1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</row>
    <row r="984" ht="15.75" customHeight="1" s="1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</row>
    <row r="985" ht="15.75" customHeight="1" s="1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</row>
    <row r="986" ht="15.75" customHeight="1" s="1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</row>
    <row r="987" ht="15.75" customHeight="1" s="1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</row>
    <row r="988" ht="15.75" customHeight="1" s="1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</row>
    <row r="989" ht="15.75" customHeight="1" s="1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</row>
    <row r="990" ht="15.75" customHeight="1" s="1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</row>
    <row r="991" ht="15.75" customHeight="1" s="1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</row>
    <row r="992" ht="15.75" customHeight="1" s="1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</row>
    <row r="993" ht="15.75" customHeight="1" s="1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</row>
    <row r="994" ht="15.75" customHeight="1" s="1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</row>
    <row r="995" ht="15.75" customHeight="1" s="1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</row>
    <row r="996" ht="15.75" customHeight="1" s="1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</row>
    <row r="997" ht="15.75" customHeight="1" s="1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</row>
    <row r="998" ht="15.75" customHeight="1" s="1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</row>
    <row r="999" ht="15.75" customHeight="1" s="1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</row>
    <row r="1000" ht="15.75" customHeight="1" s="1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2025-11-14T21:29:14Z</dcterms:modified>
</cp:coreProperties>
</file>