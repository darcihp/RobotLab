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8" min="1" max="1"/>
    <col width="5.14" customWidth="1" style="18" min="2" max="3"/>
    <col width="10" customWidth="1" style="18" min="4" max="4"/>
    <col width="8.710000000000001" customWidth="1" style="18" min="5" max="5"/>
    <col width="6.71" customWidth="1" style="18" min="6" max="6"/>
    <col width="5.14" customWidth="1" style="18" min="7" max="8"/>
    <col width="10" customWidth="1" style="18" min="9" max="10"/>
    <col width="5.29" customWidth="1" style="18" min="11" max="12"/>
    <col width="10" customWidth="1" style="18" min="13" max="13"/>
    <col width="8.710000000000001" customWidth="1" style="18" min="14" max="14"/>
    <col width="6.14" customWidth="1" style="18" min="15" max="15"/>
    <col width="9.140000000000001" customWidth="1" style="18" min="16" max="17"/>
    <col width="10" customWidth="1" style="18" min="18" max="18"/>
    <col width="24.71" customWidth="1" style="18" min="19" max="19"/>
    <col width="3" customWidth="1" style="18" min="20" max="20"/>
    <col width="5.57" customWidth="1" style="18" min="21" max="21"/>
    <col width="10" customWidth="1" style="18" min="22" max="22"/>
    <col width="8.710000000000001" customWidth="1" style="18" min="23" max="23"/>
  </cols>
  <sheetData>
    <row r="1">
      <c r="A1" s="19" t="inlineStr">
        <is>
          <t>Real</t>
        </is>
      </c>
      <c r="B1" s="20" t="n"/>
      <c r="C1" s="20" t="n"/>
      <c r="D1" s="21" t="n"/>
      <c r="E1" s="4" t="n"/>
      <c r="F1" s="19" t="inlineStr">
        <is>
          <t>Odom</t>
        </is>
      </c>
      <c r="G1" s="20" t="n"/>
      <c r="H1" s="20" t="n"/>
      <c r="I1" s="21" t="n"/>
      <c r="J1" s="5" t="n"/>
      <c r="K1" s="19" t="inlineStr">
        <is>
          <t>Difference</t>
        </is>
      </c>
      <c r="L1" s="20" t="n"/>
      <c r="M1" s="21" t="n"/>
      <c r="N1" s="4" t="n"/>
      <c r="O1" s="19" t="inlineStr">
        <is>
          <t>Real</t>
        </is>
      </c>
      <c r="P1" s="20" t="n"/>
      <c r="Q1" s="20" t="n"/>
      <c r="R1" s="21" t="n"/>
      <c r="S1" s="4" t="n"/>
      <c r="T1" s="4" t="n"/>
      <c r="U1" s="4" t="n"/>
      <c r="V1" s="19" t="inlineStr">
        <is>
          <t>tcrit - bi-caudal</t>
        </is>
      </c>
      <c r="W1" s="21" t="n"/>
      <c r="X1" s="4" t="n"/>
    </row>
    <row r="2">
      <c r="A2" s="6" t="inlineStr">
        <is>
          <t>run_id</t>
        </is>
      </c>
      <c r="B2" s="6" t="inlineStr">
        <is>
          <t>x(m)</t>
        </is>
      </c>
      <c r="C2" s="6" t="inlineStr">
        <is>
          <t>y(m)</t>
        </is>
      </c>
      <c r="D2" s="6" t="inlineStr">
        <is>
          <t>theta(rad)</t>
        </is>
      </c>
      <c r="E2" s="4" t="n"/>
      <c r="F2" s="6" t="inlineStr">
        <is>
          <t>run_id</t>
        </is>
      </c>
      <c r="G2" s="6" t="inlineStr">
        <is>
          <t>x(m)</t>
        </is>
      </c>
      <c r="H2" s="6" t="inlineStr">
        <is>
          <t>y(m)</t>
        </is>
      </c>
      <c r="I2" s="6" t="inlineStr">
        <is>
          <t>theta(rad)</t>
        </is>
      </c>
      <c r="J2" s="7" t="n"/>
      <c r="K2" s="6" t="inlineStr">
        <is>
          <t>x(m)</t>
        </is>
      </c>
      <c r="L2" s="6" t="inlineStr">
        <is>
          <t>y(m)</t>
        </is>
      </c>
      <c r="M2" s="6" t="inlineStr">
        <is>
          <t>theta(rad)</t>
        </is>
      </c>
      <c r="N2" s="4" t="n"/>
      <c r="O2" s="6" t="n"/>
      <c r="P2" s="6" t="inlineStr">
        <is>
          <t>x(m)</t>
        </is>
      </c>
      <c r="Q2" s="6" t="inlineStr">
        <is>
          <t>y(m)</t>
        </is>
      </c>
      <c r="R2" s="6" t="inlineStr">
        <is>
          <t>theta(rad)</t>
        </is>
      </c>
      <c r="S2" s="4" t="n"/>
      <c r="T2" s="4" t="n"/>
      <c r="U2" s="4" t="n"/>
      <c r="V2" s="8" t="n">
        <v>0.05</v>
      </c>
      <c r="W2" s="8" t="n">
        <v>0.01</v>
      </c>
      <c r="X2" s="4" t="n"/>
    </row>
    <row r="3">
      <c r="A3" s="9" t="n">
        <v>1</v>
      </c>
      <c r="B3" s="10" t="n">
        <v>0.521</v>
      </c>
      <c r="C3" s="10" t="n">
        <v>-0.402</v>
      </c>
      <c r="D3" s="10" t="n">
        <v>0.208</v>
      </c>
      <c r="E3" s="11" t="n"/>
      <c r="F3" s="9" t="n">
        <v>1</v>
      </c>
      <c r="G3" s="12" t="n">
        <v>-0.467</v>
      </c>
      <c r="H3" s="12" t="n">
        <v>0.595</v>
      </c>
      <c r="I3" s="12" t="n">
        <v>-0.275</v>
      </c>
      <c r="J3" s="11" t="n"/>
      <c r="K3" s="9">
        <f>B3-G3</f>
        <v/>
      </c>
      <c r="L3" s="9">
        <f>C3-H3</f>
        <v/>
      </c>
      <c r="M3" s="9">
        <f>D3-I3</f>
        <v/>
      </c>
      <c r="N3" s="4" t="n"/>
      <c r="O3" s="12" t="inlineStr">
        <is>
          <t>d</t>
        </is>
      </c>
      <c r="P3" s="13">
        <f>AVERAGE(B3:B52)</f>
        <v/>
      </c>
      <c r="Q3" s="13">
        <f>AVERAGE(C3:C52)</f>
        <v/>
      </c>
      <c r="R3" s="13">
        <f>AVERAGE(D3:D52)</f>
        <v/>
      </c>
      <c r="S3" s="4" t="n"/>
      <c r="T3" s="4" t="n"/>
      <c r="U3" s="14" t="n">
        <v>49</v>
      </c>
      <c r="V3" s="14" t="n">
        <v>2.009</v>
      </c>
      <c r="W3" s="14" t="n">
        <v>2.68</v>
      </c>
      <c r="X3" s="4" t="n"/>
    </row>
    <row r="4">
      <c r="A4" s="9" t="n">
        <v>2</v>
      </c>
      <c r="B4" s="10" t="n">
        <v>0.341</v>
      </c>
      <c r="C4" s="10" t="n">
        <v>-0.165</v>
      </c>
      <c r="D4" s="10" t="n">
        <v>0.159</v>
      </c>
      <c r="E4" s="11" t="n"/>
      <c r="F4" s="9" t="n">
        <v>2</v>
      </c>
      <c r="G4" s="12" t="n">
        <v>-0.458</v>
      </c>
      <c r="H4" s="12" t="n">
        <v>0.829</v>
      </c>
      <c r="I4" s="12" t="n">
        <v>-0.298</v>
      </c>
      <c r="J4" s="11" t="n"/>
      <c r="K4" s="9">
        <f>B4-G4</f>
        <v/>
      </c>
      <c r="L4" s="9">
        <f>C4-H4</f>
        <v/>
      </c>
      <c r="M4" s="9">
        <f>D4-I4</f>
        <v/>
      </c>
      <c r="N4" s="4" t="n"/>
      <c r="O4" s="12" t="inlineStr">
        <is>
          <t>sd</t>
        </is>
      </c>
      <c r="P4" s="13">
        <f>_xlfn.STDEV.S(B3:B52)</f>
        <v/>
      </c>
      <c r="Q4" s="13">
        <f>_xlfn.STDEV.S(C3:C52)</f>
        <v/>
      </c>
      <c r="R4" s="13">
        <f>_xlfn.STDEV.S(D3:D52)</f>
        <v/>
      </c>
      <c r="S4" s="4" t="n"/>
      <c r="T4" s="4" t="n"/>
      <c r="U4" s="14" t="n">
        <v>98</v>
      </c>
      <c r="V4" s="14" t="n">
        <v>1.984</v>
      </c>
      <c r="W4" s="14" t="n">
        <v>2.626</v>
      </c>
      <c r="X4" s="4" t="n"/>
    </row>
    <row r="5">
      <c r="A5" s="9" t="n">
        <v>3</v>
      </c>
      <c r="B5" s="10" t="n">
        <v>0.38</v>
      </c>
      <c r="C5" s="10" t="n">
        <v>-0.251</v>
      </c>
      <c r="D5" s="10" t="n">
        <v>0.197</v>
      </c>
      <c r="E5" s="11" t="n"/>
      <c r="F5" s="9" t="n">
        <v>3</v>
      </c>
      <c r="G5" s="12" t="n">
        <v>-0.484</v>
      </c>
      <c r="H5" s="12" t="n">
        <v>0.663</v>
      </c>
      <c r="I5" s="12" t="n">
        <v>-0.275</v>
      </c>
      <c r="J5" s="11" t="n"/>
      <c r="K5" s="9">
        <f>B5-G5</f>
        <v/>
      </c>
      <c r="L5" s="9">
        <f>C5-H5</f>
        <v/>
      </c>
      <c r="M5" s="9">
        <f>D5-I5</f>
        <v/>
      </c>
      <c r="N5" s="4" t="n"/>
      <c r="O5" s="12" t="inlineStr">
        <is>
          <t>1sig</t>
        </is>
      </c>
      <c r="P5" s="13">
        <f>P3+P4</f>
        <v/>
      </c>
      <c r="Q5" s="13">
        <f>Q3+Q4</f>
        <v/>
      </c>
      <c r="R5" s="13">
        <f>R3+R4</f>
        <v/>
      </c>
      <c r="S5" s="4" t="n"/>
      <c r="T5" s="4" t="n"/>
      <c r="U5" s="4" t="n"/>
      <c r="V5" s="4" t="n"/>
      <c r="W5" s="4" t="n"/>
      <c r="X5" s="4" t="n"/>
    </row>
    <row r="6">
      <c r="A6" s="9" t="n">
        <v>4</v>
      </c>
      <c r="B6" s="10" t="n">
        <v>0.708</v>
      </c>
      <c r="C6" s="10" t="n">
        <v>-0.435</v>
      </c>
      <c r="D6" s="10" t="n">
        <v>0.257</v>
      </c>
      <c r="E6" s="11" t="n"/>
      <c r="F6" s="9" t="n">
        <v>4</v>
      </c>
      <c r="G6" s="12" t="n">
        <v>-0.367</v>
      </c>
      <c r="H6" s="12" t="n">
        <v>0.471</v>
      </c>
      <c r="I6" s="12" t="n">
        <v>-0.215</v>
      </c>
      <c r="J6" s="11" t="n"/>
      <c r="K6" s="9">
        <f>B6-G6</f>
        <v/>
      </c>
      <c r="L6" s="9">
        <f>C6-H6</f>
        <v/>
      </c>
      <c r="M6" s="9">
        <f>D6-I6</f>
        <v/>
      </c>
      <c r="N6" s="4" t="n"/>
      <c r="O6" s="12" t="inlineStr">
        <is>
          <t>-1sig</t>
        </is>
      </c>
      <c r="P6" s="13">
        <f>P3-P4</f>
        <v/>
      </c>
      <c r="Q6" s="13">
        <f>Q3-Q4</f>
        <v/>
      </c>
      <c r="R6" s="13">
        <f>R3-R4</f>
        <v/>
      </c>
      <c r="S6" s="4" t="n"/>
      <c r="T6" s="4" t="n"/>
      <c r="U6" s="4" t="n"/>
      <c r="V6" s="4" t="n"/>
      <c r="W6" s="4" t="n"/>
      <c r="X6" s="4" t="n"/>
    </row>
    <row r="7">
      <c r="A7" s="9" t="n">
        <v>5</v>
      </c>
      <c r="B7" s="10" t="n">
        <v>0.598</v>
      </c>
      <c r="C7" s="10" t="n">
        <v>-0.409</v>
      </c>
      <c r="D7" s="10" t="n">
        <v>0.267</v>
      </c>
      <c r="E7" s="11" t="n"/>
      <c r="F7" s="9" t="n">
        <v>5</v>
      </c>
      <c r="G7" s="12" t="n">
        <v>-0.489</v>
      </c>
      <c r="H7" s="12" t="n">
        <v>0.596</v>
      </c>
      <c r="I7" s="12" t="n">
        <v>-0.272</v>
      </c>
      <c r="J7" s="11" t="n"/>
      <c r="K7" s="9">
        <f>B7-G7</f>
        <v/>
      </c>
      <c r="L7" s="9">
        <f>C7-H7</f>
        <v/>
      </c>
      <c r="M7" s="9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9" t="n">
        <v>6</v>
      </c>
      <c r="B8" s="10" t="n">
        <v>0.696</v>
      </c>
      <c r="C8" s="10" t="n">
        <v>-0.442</v>
      </c>
      <c r="D8" s="10" t="n">
        <v>0.352</v>
      </c>
      <c r="E8" s="11" t="n"/>
      <c r="F8" s="9" t="n">
        <v>6</v>
      </c>
      <c r="G8" s="12" t="n">
        <v>-0.518</v>
      </c>
      <c r="H8" s="12" t="n">
        <v>0.507</v>
      </c>
      <c r="I8" s="12" t="n">
        <v>-0.227</v>
      </c>
      <c r="J8" s="11" t="n"/>
      <c r="K8" s="9">
        <f>B8-G8</f>
        <v/>
      </c>
      <c r="L8" s="9">
        <f>C8-H8</f>
        <v/>
      </c>
      <c r="M8" s="9">
        <f>D8-I8</f>
        <v/>
      </c>
      <c r="N8" s="4" t="n"/>
      <c r="O8" s="19" t="inlineStr">
        <is>
          <t>Platform</t>
        </is>
      </c>
      <c r="P8" s="20" t="n"/>
      <c r="Q8" s="20" t="n"/>
      <c r="R8" s="21" t="n"/>
      <c r="S8" s="4" t="n"/>
      <c r="T8" s="4" t="n"/>
      <c r="U8" s="4" t="n"/>
      <c r="V8" s="4" t="n"/>
      <c r="W8" s="4" t="n"/>
      <c r="X8" s="4" t="n"/>
    </row>
    <row r="9">
      <c r="A9" s="9" t="n">
        <v>7</v>
      </c>
      <c r="B9" s="10" t="n">
        <v>0.527</v>
      </c>
      <c r="C9" s="10" t="n">
        <v>-0.519</v>
      </c>
      <c r="D9" s="10" t="n">
        <v>0.303</v>
      </c>
      <c r="E9" s="11" t="n"/>
      <c r="F9" s="9" t="n">
        <v>7</v>
      </c>
      <c r="G9" s="12" t="n">
        <v>-0.5659999999999999</v>
      </c>
      <c r="H9" s="12" t="n">
        <v>0.636</v>
      </c>
      <c r="I9" s="12" t="n">
        <v>-0.283</v>
      </c>
      <c r="J9" s="11" t="n"/>
      <c r="K9" s="9">
        <f>B9-G9</f>
        <v/>
      </c>
      <c r="L9" s="9">
        <f>C9-H9</f>
        <v/>
      </c>
      <c r="M9" s="9">
        <f>D9-I9</f>
        <v/>
      </c>
      <c r="N9" s="4" t="n"/>
      <c r="O9" s="6" t="n"/>
      <c r="P9" s="6" t="inlineStr">
        <is>
          <t>x(m)</t>
        </is>
      </c>
      <c r="Q9" s="6" t="inlineStr">
        <is>
          <t>y(m)</t>
        </is>
      </c>
      <c r="R9" s="6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9" t="n">
        <v>8</v>
      </c>
      <c r="B10" s="10" t="n">
        <v>0.7</v>
      </c>
      <c r="C10" s="10" t="n">
        <v>-0.502</v>
      </c>
      <c r="D10" s="10" t="n">
        <v>0.296</v>
      </c>
      <c r="E10" s="11" t="n"/>
      <c r="F10" s="9" t="n">
        <v>8</v>
      </c>
      <c r="G10" s="12" t="n">
        <v>-0.43</v>
      </c>
      <c r="H10" s="12" t="n">
        <v>0.631</v>
      </c>
      <c r="I10" s="12" t="n">
        <v>-0.27</v>
      </c>
      <c r="J10" s="11" t="n"/>
      <c r="K10" s="9">
        <f>B10-G10</f>
        <v/>
      </c>
      <c r="L10" s="9">
        <f>C10-H10</f>
        <v/>
      </c>
      <c r="M10" s="9">
        <f>D10-I10</f>
        <v/>
      </c>
      <c r="N10" s="4" t="n"/>
      <c r="O10" s="12" t="inlineStr">
        <is>
          <t>d</t>
        </is>
      </c>
      <c r="P10" s="13">
        <f>AVERAGE(G3:G52)</f>
        <v/>
      </c>
      <c r="Q10" s="13">
        <f>AVERAGE(H3:H52)</f>
        <v/>
      </c>
      <c r="R10" s="13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9" t="n">
        <v>9</v>
      </c>
      <c r="B11" s="10" t="n">
        <v>0.535</v>
      </c>
      <c r="C11" s="10" t="n">
        <v>-0.414</v>
      </c>
      <c r="D11" s="10" t="n">
        <v>0.277</v>
      </c>
      <c r="E11" s="11" t="n"/>
      <c r="F11" s="9" t="n">
        <v>9</v>
      </c>
      <c r="G11" s="12" t="n">
        <v>-0.397</v>
      </c>
      <c r="H11" s="12" t="n">
        <v>0.517</v>
      </c>
      <c r="I11" s="12" t="n">
        <v>-0.224</v>
      </c>
      <c r="J11" s="11" t="n"/>
      <c r="K11" s="9">
        <f>B11-G11</f>
        <v/>
      </c>
      <c r="L11" s="9">
        <f>C11-H11</f>
        <v/>
      </c>
      <c r="M11" s="9">
        <f>D11-I11</f>
        <v/>
      </c>
      <c r="N11" s="4" t="n"/>
      <c r="O11" s="12" t="inlineStr">
        <is>
          <t>sd</t>
        </is>
      </c>
      <c r="P11" s="13">
        <f>_xlfn.STDEV.S(G3:G52)</f>
        <v/>
      </c>
      <c r="Q11" s="13">
        <f>_xlfn.STDEV.S(H3:H52)</f>
        <v/>
      </c>
      <c r="R11" s="13">
        <f>_xlfn.STDEV.S(I3:I52)</f>
        <v/>
      </c>
      <c r="S11" s="4" t="n"/>
      <c r="T11" s="15" t="inlineStr">
        <is>
          <t>n</t>
        </is>
      </c>
      <c r="U11" s="4" t="n"/>
      <c r="V11" s="4" t="n"/>
      <c r="W11" s="4" t="n"/>
      <c r="X11" s="4" t="n"/>
    </row>
    <row r="12">
      <c r="A12" s="9" t="n">
        <v>10</v>
      </c>
      <c r="B12" s="10" t="n">
        <v>0.5629999999999999</v>
      </c>
      <c r="C12" s="10" t="n">
        <v>-0.465</v>
      </c>
      <c r="D12" s="10" t="n">
        <v>0.305</v>
      </c>
      <c r="E12" s="11" t="n"/>
      <c r="F12" s="9" t="n">
        <v>10</v>
      </c>
      <c r="G12" s="12" t="n">
        <v>-0.509</v>
      </c>
      <c r="H12" s="12" t="n">
        <v>0.6919999999999999</v>
      </c>
      <c r="I12" s="12" t="n">
        <v>-0.292</v>
      </c>
      <c r="J12" s="11" t="n"/>
      <c r="K12" s="9">
        <f>B12-G12</f>
        <v/>
      </c>
      <c r="L12" s="9">
        <f>C12-H12</f>
        <v/>
      </c>
      <c r="M12" s="9">
        <f>D12-I12</f>
        <v/>
      </c>
      <c r="N12" s="4" t="n"/>
      <c r="O12" s="12" t="inlineStr">
        <is>
          <t>1sig</t>
        </is>
      </c>
      <c r="P12" s="13">
        <f>P10+P11</f>
        <v/>
      </c>
      <c r="Q12" s="13">
        <f>Q10+Q11</f>
        <v/>
      </c>
      <c r="R12" s="13">
        <f>R10+R11</f>
        <v/>
      </c>
      <c r="S12" s="4" t="n"/>
      <c r="T12" s="12" t="n">
        <v>50</v>
      </c>
      <c r="U12" s="4" t="n"/>
      <c r="V12" s="4" t="n"/>
      <c r="W12" s="4" t="n"/>
      <c r="X12" s="4" t="n"/>
    </row>
    <row r="13">
      <c r="A13" s="9" t="n">
        <v>11</v>
      </c>
      <c r="B13" s="10" t="n">
        <v>0.393</v>
      </c>
      <c r="C13" s="10" t="n">
        <v>-0.411</v>
      </c>
      <c r="D13" s="10" t="n">
        <v>0.199</v>
      </c>
      <c r="E13" s="11" t="n"/>
      <c r="F13" s="9" t="n">
        <v>11</v>
      </c>
      <c r="G13" s="12" t="n">
        <v>-0.483</v>
      </c>
      <c r="H13" s="12" t="n">
        <v>0.59</v>
      </c>
      <c r="I13" s="12" t="n">
        <v>-0.286</v>
      </c>
      <c r="J13" s="11" t="n"/>
      <c r="K13" s="9">
        <f>B13-G13</f>
        <v/>
      </c>
      <c r="L13" s="9">
        <f>C13-H13</f>
        <v/>
      </c>
      <c r="M13" s="9">
        <f>D13-I13</f>
        <v/>
      </c>
      <c r="N13" s="4" t="n"/>
      <c r="O13" s="12" t="inlineStr">
        <is>
          <t>-1sig</t>
        </is>
      </c>
      <c r="P13" s="13">
        <f>P10-P11</f>
        <v/>
      </c>
      <c r="Q13" s="13">
        <f>Q10-Q11</f>
        <v/>
      </c>
      <c r="R13" s="13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9" t="n">
        <v>12</v>
      </c>
      <c r="B14" s="10" t="n">
        <v>0.5620000000000001</v>
      </c>
      <c r="C14" s="10" t="n">
        <v>-0.367</v>
      </c>
      <c r="D14" s="10" t="n">
        <v>0.303</v>
      </c>
      <c r="E14" s="11" t="n"/>
      <c r="F14" s="9" t="n">
        <v>12</v>
      </c>
      <c r="G14" s="12" t="n">
        <v>-0.49</v>
      </c>
      <c r="H14" s="12" t="n">
        <v>0.74</v>
      </c>
      <c r="I14" s="12" t="n">
        <v>-0.311</v>
      </c>
      <c r="J14" s="11" t="n"/>
      <c r="K14" s="9">
        <f>B14-G14</f>
        <v/>
      </c>
      <c r="L14" s="9">
        <f>C14-H14</f>
        <v/>
      </c>
      <c r="M14" s="9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9" t="n">
        <v>13</v>
      </c>
      <c r="B15" s="10" t="n">
        <v>0.651</v>
      </c>
      <c r="C15" s="10" t="n">
        <v>-0.404</v>
      </c>
      <c r="D15" s="10" t="n">
        <v>0.246</v>
      </c>
      <c r="E15" s="11" t="n"/>
      <c r="F15" s="9" t="n">
        <v>13</v>
      </c>
      <c r="G15" s="12" t="n">
        <v>-0.404</v>
      </c>
      <c r="H15" s="12" t="n">
        <v>0.606</v>
      </c>
      <c r="I15" s="12" t="n">
        <v>-0.251</v>
      </c>
      <c r="J15" s="11" t="n"/>
      <c r="K15" s="9">
        <f>B15-G15</f>
        <v/>
      </c>
      <c r="L15" s="9">
        <f>C15-H15</f>
        <v/>
      </c>
      <c r="M15" s="9">
        <f>D15-I15</f>
        <v/>
      </c>
      <c r="N15" s="4" t="n"/>
      <c r="O15" s="19" t="inlineStr">
        <is>
          <t>Diferença - Pareado</t>
        </is>
      </c>
      <c r="P15" s="20" t="n"/>
      <c r="Q15" s="20" t="n"/>
      <c r="R15" s="21" t="n"/>
      <c r="S15" s="4" t="n"/>
      <c r="T15" s="4" t="n"/>
      <c r="U15" s="4" t="n"/>
      <c r="V15" s="4" t="n"/>
      <c r="W15" s="4" t="n"/>
      <c r="X15" s="4" t="n"/>
    </row>
    <row r="16">
      <c r="A16" s="9" t="n">
        <v>14</v>
      </c>
      <c r="B16" s="10" t="n">
        <v>0.6840000000000001</v>
      </c>
      <c r="C16" s="10" t="n">
        <v>-0.487</v>
      </c>
      <c r="D16" s="10" t="n">
        <v>0.293</v>
      </c>
      <c r="E16" s="11" t="n"/>
      <c r="F16" s="9" t="n">
        <v>14</v>
      </c>
      <c r="G16" s="12" t="n">
        <v>-0.524</v>
      </c>
      <c r="H16" s="12" t="n">
        <v>0.552</v>
      </c>
      <c r="I16" s="12" t="n">
        <v>-0.264</v>
      </c>
      <c r="J16" s="11" t="n"/>
      <c r="K16" s="9">
        <f>B16-G16</f>
        <v/>
      </c>
      <c r="L16" s="9">
        <f>C16-H16</f>
        <v/>
      </c>
      <c r="M16" s="9">
        <f>D16-I16</f>
        <v/>
      </c>
      <c r="N16" s="4" t="n"/>
      <c r="O16" s="6" t="n"/>
      <c r="P16" s="6" t="inlineStr">
        <is>
          <t>x(m)</t>
        </is>
      </c>
      <c r="Q16" s="6" t="inlineStr">
        <is>
          <t>y(m)</t>
        </is>
      </c>
      <c r="R16" s="6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9" t="n">
        <v>15</v>
      </c>
      <c r="B17" s="10" t="n">
        <v>0.743</v>
      </c>
      <c r="C17" s="10" t="n">
        <v>-0.389</v>
      </c>
      <c r="D17" s="10" t="n">
        <v>0.235</v>
      </c>
      <c r="E17" s="11" t="n"/>
      <c r="F17" s="9" t="n">
        <v>15</v>
      </c>
      <c r="G17" s="12" t="n">
        <v>-0.463</v>
      </c>
      <c r="H17" s="12" t="n">
        <v>0.6850000000000001</v>
      </c>
      <c r="I17" s="12" t="n">
        <v>-0.305</v>
      </c>
      <c r="J17" s="11" t="n"/>
      <c r="K17" s="9">
        <f>B17-G17</f>
        <v/>
      </c>
      <c r="L17" s="9">
        <f>C17-H17</f>
        <v/>
      </c>
      <c r="M17" s="9">
        <f>D17-I17</f>
        <v/>
      </c>
      <c r="N17" s="4" t="n"/>
      <c r="O17" s="12" t="inlineStr">
        <is>
          <t>d</t>
        </is>
      </c>
      <c r="P17" s="13">
        <f>AVERAGE(K3:K52)</f>
        <v/>
      </c>
      <c r="Q17" s="13">
        <f>AVERAGE(L3:L52)</f>
        <v/>
      </c>
      <c r="R17" s="13">
        <f>AVERAGE(M3:M52)</f>
        <v/>
      </c>
      <c r="S17" s="4" t="n"/>
      <c r="T17" s="15" t="inlineStr">
        <is>
          <t>n1</t>
        </is>
      </c>
      <c r="U17" s="15" t="inlineStr">
        <is>
          <t>n2</t>
        </is>
      </c>
      <c r="V17" s="4" t="n"/>
      <c r="W17" s="4" t="n"/>
      <c r="X17" s="4" t="n"/>
    </row>
    <row r="18">
      <c r="A18" s="9" t="n">
        <v>16</v>
      </c>
      <c r="B18" s="10" t="n">
        <v>0.601</v>
      </c>
      <c r="C18" s="10" t="n">
        <v>-0.709</v>
      </c>
      <c r="D18" s="10" t="n">
        <v>0.309</v>
      </c>
      <c r="E18" s="11" t="n"/>
      <c r="F18" s="9" t="n">
        <v>16</v>
      </c>
      <c r="G18" s="12" t="n">
        <v>-0.496</v>
      </c>
      <c r="H18" s="12" t="n">
        <v>0.717</v>
      </c>
      <c r="I18" s="12" t="n">
        <v>-0.299</v>
      </c>
      <c r="J18" s="11" t="n"/>
      <c r="K18" s="9">
        <f>B18-G18</f>
        <v/>
      </c>
      <c r="L18" s="9">
        <f>C18-H18</f>
        <v/>
      </c>
      <c r="M18" s="9">
        <f>D18-I18</f>
        <v/>
      </c>
      <c r="N18" s="4" t="n"/>
      <c r="O18" s="12" t="inlineStr">
        <is>
          <t>sd</t>
        </is>
      </c>
      <c r="P18" s="13">
        <f>_xlfn.STDEV.S(K3:K52)</f>
        <v/>
      </c>
      <c r="Q18" s="13">
        <f>_xlfn.STDEV.S(L3:L52)</f>
        <v/>
      </c>
      <c r="R18" s="13">
        <f>_xlfn.STDEV.S(M3:M52)</f>
        <v/>
      </c>
      <c r="S18" s="4" t="n"/>
      <c r="T18" s="12" t="n">
        <v>50</v>
      </c>
      <c r="U18" s="12" t="n">
        <v>50</v>
      </c>
      <c r="V18" s="4" t="n"/>
      <c r="W18" s="4" t="n"/>
      <c r="X18" s="4" t="n"/>
    </row>
    <row r="19">
      <c r="A19" s="9" t="n">
        <v>17</v>
      </c>
      <c r="B19" s="10" t="n">
        <v>0.895</v>
      </c>
      <c r="C19" s="10" t="n">
        <v>-0.625</v>
      </c>
      <c r="D19" s="10" t="n">
        <v>0.334</v>
      </c>
      <c r="E19" s="11" t="n"/>
      <c r="F19" s="9" t="n">
        <v>17</v>
      </c>
      <c r="G19" s="12" t="n">
        <v>-0.458</v>
      </c>
      <c r="H19" s="12" t="n">
        <v>0.626</v>
      </c>
      <c r="I19" s="12" t="n">
        <v>-0.306</v>
      </c>
      <c r="J19" s="11" t="n"/>
      <c r="K19" s="9">
        <f>B19-G19</f>
        <v/>
      </c>
      <c r="L19" s="9">
        <f>C19-H19</f>
        <v/>
      </c>
      <c r="M19" s="9">
        <f>D19-I19</f>
        <v/>
      </c>
      <c r="N19" s="4" t="n"/>
      <c r="O19" s="12" t="inlineStr">
        <is>
          <t>t</t>
        </is>
      </c>
      <c r="P19" s="16">
        <f>ABS(P17/(P18/SQRT($T$12)))</f>
        <v/>
      </c>
      <c r="Q19" s="16">
        <f>ABS(Q17/(Q18/SQRT($T$12)))</f>
        <v/>
      </c>
      <c r="R19" s="16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9" t="n">
        <v>18</v>
      </c>
      <c r="B20" s="10" t="n">
        <v>0.681</v>
      </c>
      <c r="C20" s="10" t="n">
        <v>-0.586</v>
      </c>
      <c r="D20" s="10" t="n">
        <v>0.296</v>
      </c>
      <c r="E20" s="11" t="n"/>
      <c r="F20" s="9" t="n">
        <v>18</v>
      </c>
      <c r="G20" s="12" t="n">
        <v>-0.539</v>
      </c>
      <c r="H20" s="12" t="n">
        <v>0.73</v>
      </c>
      <c r="I20" s="12" t="n">
        <v>-0.3</v>
      </c>
      <c r="J20" s="11" t="n"/>
      <c r="K20" s="9">
        <f>B20-G20</f>
        <v/>
      </c>
      <c r="L20" s="9">
        <f>C20-H20</f>
        <v/>
      </c>
      <c r="M20" s="9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8">
      <c r="A21" s="9" t="n">
        <v>19</v>
      </c>
      <c r="B21" s="10" t="n">
        <v>0.603</v>
      </c>
      <c r="C21" s="10" t="n">
        <v>-0.465</v>
      </c>
      <c r="D21" s="10" t="n">
        <v>0.293</v>
      </c>
      <c r="E21" s="11" t="n"/>
      <c r="F21" s="9" t="n">
        <v>19</v>
      </c>
      <c r="G21" s="12" t="n">
        <v>-0.49</v>
      </c>
      <c r="H21" s="12" t="n">
        <v>0.639</v>
      </c>
      <c r="I21" s="12" t="n">
        <v>-0.272</v>
      </c>
      <c r="J21" s="11" t="n"/>
      <c r="K21" s="9">
        <f>B21-G21</f>
        <v/>
      </c>
      <c r="L21" s="9">
        <f>C21-H21</f>
        <v/>
      </c>
      <c r="M21" s="9">
        <f>D21-I21</f>
        <v/>
      </c>
      <c r="N21" s="4" t="n"/>
      <c r="O21" s="19" t="inlineStr">
        <is>
          <t>Diferença - Não Pareado</t>
        </is>
      </c>
      <c r="P21" s="20" t="n"/>
      <c r="Q21" s="20" t="n"/>
      <c r="R21" s="21" t="n"/>
      <c r="S21" s="4" t="n"/>
      <c r="T21" s="4" t="n"/>
      <c r="U21" s="4" t="n"/>
      <c r="V21" s="4" t="n"/>
      <c r="W21" s="4" t="n"/>
      <c r="X21" s="4" t="n"/>
    </row>
    <row r="22" ht="15.75" customHeight="1" s="18">
      <c r="A22" s="9" t="n">
        <v>20</v>
      </c>
      <c r="B22" s="10" t="n">
        <v>0.508</v>
      </c>
      <c r="C22" s="10" t="n">
        <v>-0.601</v>
      </c>
      <c r="D22" s="10" t="n">
        <v>0.321</v>
      </c>
      <c r="E22" s="11" t="n"/>
      <c r="F22" s="9" t="n">
        <v>20</v>
      </c>
      <c r="G22" s="12" t="n">
        <v>-0.45</v>
      </c>
      <c r="H22" s="12" t="n">
        <v>0.726</v>
      </c>
      <c r="I22" s="12" t="n">
        <v>-0.28</v>
      </c>
      <c r="J22" s="11" t="n"/>
      <c r="K22" s="9">
        <f>B22-G22</f>
        <v/>
      </c>
      <c r="L22" s="9">
        <f>C22-H22</f>
        <v/>
      </c>
      <c r="M22" s="9">
        <f>D22-I22</f>
        <v/>
      </c>
      <c r="N22" s="4" t="n"/>
      <c r="O22" s="6" t="n"/>
      <c r="P22" s="6" t="inlineStr">
        <is>
          <t>x(m)</t>
        </is>
      </c>
      <c r="Q22" s="6" t="inlineStr">
        <is>
          <t>y(m)</t>
        </is>
      </c>
      <c r="R22" s="6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8">
      <c r="A23" s="9" t="n">
        <v>21</v>
      </c>
      <c r="B23" s="10" t="n">
        <v>0.834</v>
      </c>
      <c r="C23" s="10" t="n">
        <v>-0.468</v>
      </c>
      <c r="D23" s="10" t="n">
        <v>0.352</v>
      </c>
      <c r="E23" s="11" t="n"/>
      <c r="F23" s="9" t="n">
        <v>21</v>
      </c>
      <c r="G23" s="12" t="n">
        <v>-0.417</v>
      </c>
      <c r="H23" s="12" t="n">
        <v>0.614</v>
      </c>
      <c r="I23" s="12" t="n">
        <v>-0.24</v>
      </c>
      <c r="J23" s="11" t="n"/>
      <c r="K23" s="9">
        <f>B23-G23</f>
        <v/>
      </c>
      <c r="L23" s="9">
        <f>C23-H23</f>
        <v/>
      </c>
      <c r="M23" s="9">
        <f>D23-I23</f>
        <v/>
      </c>
      <c r="N23" s="4" t="n"/>
      <c r="O23" s="15" t="inlineStr">
        <is>
          <t>sp2</t>
        </is>
      </c>
      <c r="P23" s="13">
        <f>(($T$18-1)*(P4^2) + ($U$18-1)*(P11^2))/($T$18+$U$18-2)</f>
        <v/>
      </c>
      <c r="Q23" s="13">
        <f>(($T$18-1)*(Q4^2) + ($U$18-1)*(Q11^2))/($T$18+$U$18-2)</f>
        <v/>
      </c>
      <c r="R23" s="13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8">
      <c r="A24" s="9" t="n">
        <v>22</v>
      </c>
      <c r="B24" s="10" t="n">
        <v>0.395</v>
      </c>
      <c r="C24" s="10" t="n">
        <v>-0.466</v>
      </c>
      <c r="D24" s="10" t="n">
        <v>0.202</v>
      </c>
      <c r="E24" s="11" t="n"/>
      <c r="F24" s="9" t="n">
        <v>22</v>
      </c>
      <c r="G24" s="12" t="n">
        <v>-0.6</v>
      </c>
      <c r="H24" s="12" t="n">
        <v>0.744</v>
      </c>
      <c r="I24" s="12" t="n">
        <v>-0.339</v>
      </c>
      <c r="J24" s="11" t="n"/>
      <c r="K24" s="9">
        <f>B24-G24</f>
        <v/>
      </c>
      <c r="L24" s="9">
        <f>C24-H24</f>
        <v/>
      </c>
      <c r="M24" s="9">
        <f>D24-I24</f>
        <v/>
      </c>
      <c r="N24" s="4" t="n"/>
      <c r="O24" s="15" t="inlineStr">
        <is>
          <t>s1-2</t>
        </is>
      </c>
      <c r="P24" s="13">
        <f>P4^2</f>
        <v/>
      </c>
      <c r="Q24" s="13">
        <f>Q4^2</f>
        <v/>
      </c>
      <c r="R24" s="13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8">
      <c r="A25" s="9" t="n">
        <v>23</v>
      </c>
      <c r="B25" s="10" t="n">
        <v>0.575</v>
      </c>
      <c r="C25" s="10" t="n">
        <v>-0.493</v>
      </c>
      <c r="D25" s="10" t="n">
        <v>0.26</v>
      </c>
      <c r="E25" s="11" t="n"/>
      <c r="F25" s="9" t="n">
        <v>23</v>
      </c>
      <c r="G25" s="12" t="n">
        <v>-0.581</v>
      </c>
      <c r="H25" s="12" t="n">
        <v>0.695</v>
      </c>
      <c r="I25" s="12" t="n">
        <v>-0.319</v>
      </c>
      <c r="J25" s="11" t="n"/>
      <c r="K25" s="9">
        <f>B25-G25</f>
        <v/>
      </c>
      <c r="L25" s="9">
        <f>C25-H25</f>
        <v/>
      </c>
      <c r="M25" s="9">
        <f>D25-I25</f>
        <v/>
      </c>
      <c r="N25" s="4" t="n"/>
      <c r="O25" s="15" t="inlineStr">
        <is>
          <t>s2-2</t>
        </is>
      </c>
      <c r="P25" s="13">
        <f>P11^2</f>
        <v/>
      </c>
      <c r="Q25" s="13">
        <f>Q11^2</f>
        <v/>
      </c>
      <c r="R25" s="13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8">
      <c r="A26" s="9" t="n">
        <v>24</v>
      </c>
      <c r="B26" s="10" t="n">
        <v>0.402</v>
      </c>
      <c r="C26" s="10" t="n">
        <v>-0.434</v>
      </c>
      <c r="D26" s="10" t="n">
        <v>0.192</v>
      </c>
      <c r="E26" s="11" t="n"/>
      <c r="F26" s="9" t="n">
        <v>24</v>
      </c>
      <c r="G26" s="12" t="n">
        <v>-0.487</v>
      </c>
      <c r="H26" s="12" t="n">
        <v>0.651</v>
      </c>
      <c r="I26" s="12" t="n">
        <v>-0.266</v>
      </c>
      <c r="J26" s="11" t="n"/>
      <c r="K26" s="9">
        <f>B26-G26</f>
        <v/>
      </c>
      <c r="L26" s="9">
        <f>C26-H26</f>
        <v/>
      </c>
      <c r="M26" s="9">
        <f>D26-I26</f>
        <v/>
      </c>
      <c r="N26" s="4" t="n"/>
      <c r="O26" s="15" t="inlineStr">
        <is>
          <t>sp-2</t>
        </is>
      </c>
      <c r="P26" s="13">
        <f>SQRT( ((($T$18-1)*P24) + (($U$18-1)*P25))/($T$18+$U$18-2))</f>
        <v/>
      </c>
      <c r="Q26" s="13">
        <f>SQRT( ((($T$18-1)*Q24) + (($U$18-1)*Q25))/($T$18+$U$18-2))</f>
        <v/>
      </c>
      <c r="R26" s="13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8">
      <c r="A27" s="9" t="n">
        <v>25</v>
      </c>
      <c r="B27" s="10" t="n">
        <v>0.239</v>
      </c>
      <c r="C27" s="10" t="n">
        <v>-0.281</v>
      </c>
      <c r="D27" s="10" t="n">
        <v>0.145</v>
      </c>
      <c r="E27" s="11" t="n"/>
      <c r="F27" s="9" t="n">
        <v>25</v>
      </c>
      <c r="G27" s="12" t="n">
        <v>-0.421</v>
      </c>
      <c r="H27" s="12" t="n">
        <v>0.443</v>
      </c>
      <c r="I27" s="12" t="n">
        <v>-0.234</v>
      </c>
      <c r="J27" s="11" t="n"/>
      <c r="K27" s="9">
        <f>B27-G27</f>
        <v/>
      </c>
      <c r="L27" s="9">
        <f>C27-H27</f>
        <v/>
      </c>
      <c r="M27" s="9">
        <f>D27-I27</f>
        <v/>
      </c>
      <c r="N27" s="4" t="n"/>
      <c r="O27" s="15" t="inlineStr">
        <is>
          <t>se</t>
        </is>
      </c>
      <c r="P27" s="13">
        <f>P26*SQRT(1/50 + 1/50)</f>
        <v/>
      </c>
      <c r="Q27" s="13">
        <f>Q26*SQRT(1/50 + 1/50)</f>
        <v/>
      </c>
      <c r="R27" s="13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8">
      <c r="A28" s="9" t="n">
        <v>26</v>
      </c>
      <c r="B28" s="10" t="n">
        <v>0.584</v>
      </c>
      <c r="C28" s="10" t="n">
        <v>-0.459</v>
      </c>
      <c r="D28" s="10" t="n">
        <v>0.29</v>
      </c>
      <c r="E28" s="11" t="n"/>
      <c r="F28" s="9" t="n">
        <v>26</v>
      </c>
      <c r="G28" s="12" t="n">
        <v>-0.467</v>
      </c>
      <c r="H28" s="12" t="n">
        <v>0.544</v>
      </c>
      <c r="I28" s="12" t="n">
        <v>-0.247</v>
      </c>
      <c r="J28" s="11" t="n"/>
      <c r="K28" s="9">
        <f>B28-G28</f>
        <v/>
      </c>
      <c r="L28" s="9">
        <f>C28-H28</f>
        <v/>
      </c>
      <c r="M28" s="9">
        <f>D28-I28</f>
        <v/>
      </c>
      <c r="N28" s="4" t="n"/>
      <c r="O28" s="15" t="inlineStr">
        <is>
          <t>t</t>
        </is>
      </c>
      <c r="P28" s="16">
        <f>ABS((P3-P10)/P27)</f>
        <v/>
      </c>
      <c r="Q28" s="16">
        <f>ABS((Q3-Q10)/Q27)</f>
        <v/>
      </c>
      <c r="R28" s="16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8">
      <c r="A29" s="9" t="n">
        <v>27</v>
      </c>
      <c r="B29" s="10" t="n">
        <v>0.611</v>
      </c>
      <c r="C29" s="10" t="n">
        <v>-0.325</v>
      </c>
      <c r="D29" s="10" t="n">
        <v>0.263</v>
      </c>
      <c r="E29" s="11" t="n"/>
      <c r="F29" s="9" t="n">
        <v>27</v>
      </c>
      <c r="G29" s="12" t="n">
        <v>-0.494</v>
      </c>
      <c r="H29" s="12" t="n">
        <v>0.551</v>
      </c>
      <c r="I29" s="12" t="n">
        <v>-0.253</v>
      </c>
      <c r="J29" s="11" t="n"/>
      <c r="K29" s="9">
        <f>B29-G29</f>
        <v/>
      </c>
      <c r="L29" s="9">
        <f>C29-H29</f>
        <v/>
      </c>
      <c r="M29" s="9">
        <f>D29-I29</f>
        <v/>
      </c>
      <c r="N29" s="4" t="n"/>
      <c r="O29" s="15" t="inlineStr">
        <is>
          <t>gl</t>
        </is>
      </c>
      <c r="P29" s="12">
        <f>$T$18+$U$18-2</f>
        <v/>
      </c>
      <c r="Q29" s="12">
        <f>$T$18+$U$18-2</f>
        <v/>
      </c>
      <c r="R29" s="12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8">
      <c r="A30" s="9" t="n">
        <v>28</v>
      </c>
      <c r="B30" s="10" t="n">
        <v>0.618</v>
      </c>
      <c r="C30" s="10" t="n">
        <v>-0.527</v>
      </c>
      <c r="D30" s="10" t="n">
        <v>0.27</v>
      </c>
      <c r="E30" s="11" t="n"/>
      <c r="F30" s="9" t="n">
        <v>28</v>
      </c>
      <c r="G30" s="12" t="n">
        <v>-0.55</v>
      </c>
      <c r="H30" s="12" t="n">
        <v>0.6899999999999999</v>
      </c>
      <c r="I30" s="12" t="n">
        <v>-0.307</v>
      </c>
      <c r="J30" s="11" t="n"/>
      <c r="K30" s="9">
        <f>B30-G30</f>
        <v/>
      </c>
      <c r="L30" s="9">
        <f>C30-H30</f>
        <v/>
      </c>
      <c r="M30" s="9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8">
      <c r="A31" s="9" t="n">
        <v>29</v>
      </c>
      <c r="B31" s="10" t="n">
        <v>0.538</v>
      </c>
      <c r="C31" s="10" t="n">
        <v>-0.47</v>
      </c>
      <c r="D31" s="10" t="n">
        <v>0.239</v>
      </c>
      <c r="E31" s="11" t="n"/>
      <c r="F31" s="9" t="n">
        <v>29</v>
      </c>
      <c r="G31" s="12" t="n">
        <v>-0.475</v>
      </c>
      <c r="H31" s="12" t="n">
        <v>0.609</v>
      </c>
      <c r="I31" s="12" t="n">
        <v>-0.259</v>
      </c>
      <c r="J31" s="11" t="n"/>
      <c r="K31" s="9">
        <f>B31-G31</f>
        <v/>
      </c>
      <c r="L31" s="9">
        <f>C31-H31</f>
        <v/>
      </c>
      <c r="M31" s="9">
        <f>D31-I31</f>
        <v/>
      </c>
      <c r="N31" s="4" t="n"/>
      <c r="O31" s="15" t="inlineStr">
        <is>
          <t>p</t>
        </is>
      </c>
      <c r="P31" s="17">
        <f>2*(1-(_xlfn.T.DIST(ABS(P28), P29, TRUE)))</f>
        <v/>
      </c>
      <c r="Q31" s="17">
        <f>2*(1-_xlfn.T.DIST(Q28, Q29, TRUE))</f>
        <v/>
      </c>
      <c r="R31" s="17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8">
      <c r="A32" s="9" t="n">
        <v>30</v>
      </c>
      <c r="B32" s="10" t="n">
        <v>0.543</v>
      </c>
      <c r="C32" s="10" t="n">
        <v>-0.242</v>
      </c>
      <c r="D32" s="10" t="n">
        <v>0.239</v>
      </c>
      <c r="E32" s="11" t="n"/>
      <c r="F32" s="9" t="n">
        <v>30</v>
      </c>
      <c r="G32" s="12" t="n">
        <v>-0.517</v>
      </c>
      <c r="H32" s="12" t="n">
        <v>0.677</v>
      </c>
      <c r="I32" s="12" t="n">
        <v>-0.267</v>
      </c>
      <c r="J32" s="11" t="n"/>
      <c r="K32" s="9">
        <f>B32-G32</f>
        <v/>
      </c>
      <c r="L32" s="9">
        <f>C32-H32</f>
        <v/>
      </c>
      <c r="M32" s="9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8">
      <c r="A33" s="9" t="n">
        <v>31</v>
      </c>
      <c r="B33" s="10" t="n">
        <v>0.544</v>
      </c>
      <c r="C33" s="10" t="n">
        <v>-0.403</v>
      </c>
      <c r="D33" s="10" t="n">
        <v>0.258</v>
      </c>
      <c r="E33" s="11" t="n"/>
      <c r="F33" s="9" t="n">
        <v>31</v>
      </c>
      <c r="G33" s="12" t="n">
        <v>-0.472</v>
      </c>
      <c r="H33" s="12" t="n">
        <v>0.665</v>
      </c>
      <c r="I33" s="12" t="n">
        <v>-0.282</v>
      </c>
      <c r="J33" s="11" t="n"/>
      <c r="K33" s="9">
        <f>B33-G33</f>
        <v/>
      </c>
      <c r="L33" s="9">
        <f>C33-H33</f>
        <v/>
      </c>
      <c r="M33" s="9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8">
      <c r="A34" s="9" t="n">
        <v>32</v>
      </c>
      <c r="B34" s="10" t="n">
        <v>0.454</v>
      </c>
      <c r="C34" s="10" t="n">
        <v>-0.348</v>
      </c>
      <c r="D34" s="10" t="n">
        <v>0.277</v>
      </c>
      <c r="E34" s="11" t="n"/>
      <c r="F34" s="9" t="n">
        <v>32</v>
      </c>
      <c r="G34" s="12" t="n">
        <v>-0.502</v>
      </c>
      <c r="H34" s="12" t="n">
        <v>0.724</v>
      </c>
      <c r="I34" s="12" t="n">
        <v>-0.3</v>
      </c>
      <c r="J34" s="11" t="n"/>
      <c r="K34" s="9">
        <f>B34-G34</f>
        <v/>
      </c>
      <c r="L34" s="9">
        <f>C34-H34</f>
        <v/>
      </c>
      <c r="M34" s="9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8">
      <c r="A35" s="9" t="n">
        <v>33</v>
      </c>
      <c r="B35" s="10" t="n">
        <v>0.504</v>
      </c>
      <c r="C35" s="10" t="n">
        <v>-0.648</v>
      </c>
      <c r="D35" s="10" t="n">
        <v>0.279</v>
      </c>
      <c r="E35" s="11" t="n"/>
      <c r="F35" s="9" t="n">
        <v>33</v>
      </c>
      <c r="G35" s="12" t="n">
        <v>-0.339</v>
      </c>
      <c r="H35" s="12" t="n">
        <v>0.58</v>
      </c>
      <c r="I35" s="12" t="n">
        <v>-0.245</v>
      </c>
      <c r="J35" s="11" t="n"/>
      <c r="K35" s="9">
        <f>B35-G35</f>
        <v/>
      </c>
      <c r="L35" s="9">
        <f>C35-H35</f>
        <v/>
      </c>
      <c r="M35" s="9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8">
      <c r="A36" s="9" t="n">
        <v>34</v>
      </c>
      <c r="B36" s="10" t="n">
        <v>0.532</v>
      </c>
      <c r="C36" s="10" t="n">
        <v>-0.398</v>
      </c>
      <c r="D36" s="10" t="n">
        <v>0.239</v>
      </c>
      <c r="E36" s="11" t="n"/>
      <c r="F36" s="9" t="n">
        <v>34</v>
      </c>
      <c r="G36" s="12" t="n">
        <v>-0.512</v>
      </c>
      <c r="H36" s="12" t="n">
        <v>0.663</v>
      </c>
      <c r="I36" s="12" t="n">
        <v>-0.25</v>
      </c>
      <c r="J36" s="11" t="n"/>
      <c r="K36" s="9">
        <f>B36-G36</f>
        <v/>
      </c>
      <c r="L36" s="9">
        <f>C36-H36</f>
        <v/>
      </c>
      <c r="M36" s="9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8">
      <c r="A37" s="9" t="n">
        <v>35</v>
      </c>
      <c r="B37" s="10" t="n">
        <v>0.384</v>
      </c>
      <c r="C37" s="10" t="n">
        <v>-0.214</v>
      </c>
      <c r="D37" s="10" t="n">
        <v>0.149</v>
      </c>
      <c r="E37" s="11" t="n"/>
      <c r="F37" s="9" t="n">
        <v>35</v>
      </c>
      <c r="G37" s="12" t="n">
        <v>-0.523</v>
      </c>
      <c r="H37" s="12" t="n">
        <v>0.599</v>
      </c>
      <c r="I37" s="12" t="n">
        <v>-0.261</v>
      </c>
      <c r="J37" s="11" t="n"/>
      <c r="K37" s="9">
        <f>B37-G37</f>
        <v/>
      </c>
      <c r="L37" s="9">
        <f>C37-H37</f>
        <v/>
      </c>
      <c r="M37" s="9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8">
      <c r="A38" s="9" t="n">
        <v>36</v>
      </c>
      <c r="B38" s="10" t="n">
        <v>0.869</v>
      </c>
      <c r="C38" s="10" t="n">
        <v>-0.5</v>
      </c>
      <c r="D38" s="10" t="n">
        <v>0.383</v>
      </c>
      <c r="E38" s="11" t="n"/>
      <c r="F38" s="9" t="n">
        <v>36</v>
      </c>
      <c r="G38" s="12" t="n">
        <v>-0.378</v>
      </c>
      <c r="H38" s="12" t="n">
        <v>0.531</v>
      </c>
      <c r="I38" s="12" t="n">
        <v>-0.228</v>
      </c>
      <c r="J38" s="11" t="n"/>
      <c r="K38" s="9">
        <f>B38-G38</f>
        <v/>
      </c>
      <c r="L38" s="9">
        <f>C38-H38</f>
        <v/>
      </c>
      <c r="M38" s="9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8">
      <c r="A39" s="9" t="n">
        <v>37</v>
      </c>
      <c r="B39" s="10" t="n">
        <v>0.651</v>
      </c>
      <c r="C39" s="10" t="n">
        <v>-0.614</v>
      </c>
      <c r="D39" s="10" t="n">
        <v>0.345</v>
      </c>
      <c r="E39" s="11" t="n"/>
      <c r="F39" s="9" t="n">
        <v>37</v>
      </c>
      <c r="G39" s="12" t="n">
        <v>-0.47</v>
      </c>
      <c r="H39" s="12" t="n">
        <v>0.45</v>
      </c>
      <c r="I39" s="12" t="n">
        <v>-0.254</v>
      </c>
      <c r="J39" s="11" t="n"/>
      <c r="K39" s="9">
        <f>B39-G39</f>
        <v/>
      </c>
      <c r="L39" s="9">
        <f>C39-H39</f>
        <v/>
      </c>
      <c r="M39" s="9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8">
      <c r="A40" s="9" t="n">
        <v>38</v>
      </c>
      <c r="B40" s="10" t="n">
        <v>0.502</v>
      </c>
      <c r="C40" s="10" t="n">
        <v>-0.283</v>
      </c>
      <c r="D40" s="10" t="n">
        <v>0.186</v>
      </c>
      <c r="E40" s="11" t="n"/>
      <c r="F40" s="9" t="n">
        <v>38</v>
      </c>
      <c r="G40" s="12" t="n">
        <v>-0.467</v>
      </c>
      <c r="H40" s="12" t="n">
        <v>0.528</v>
      </c>
      <c r="I40" s="12" t="n">
        <v>-0.262</v>
      </c>
      <c r="J40" s="11" t="n"/>
      <c r="K40" s="9">
        <f>B40-G40</f>
        <v/>
      </c>
      <c r="L40" s="9">
        <f>C40-H40</f>
        <v/>
      </c>
      <c r="M40" s="9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8">
      <c r="A41" s="9" t="n">
        <v>39</v>
      </c>
      <c r="B41" s="10" t="n">
        <v>0.479</v>
      </c>
      <c r="C41" s="10" t="n">
        <v>-0.458</v>
      </c>
      <c r="D41" s="10" t="n">
        <v>0.28</v>
      </c>
      <c r="E41" s="11" t="n"/>
      <c r="F41" s="9" t="n">
        <v>39</v>
      </c>
      <c r="G41" s="12" t="n">
        <v>-0.432</v>
      </c>
      <c r="H41" s="12" t="n">
        <v>0.471</v>
      </c>
      <c r="I41" s="12" t="n">
        <v>-0.221</v>
      </c>
      <c r="J41" s="11" t="n"/>
      <c r="K41" s="9">
        <f>B41-G41</f>
        <v/>
      </c>
      <c r="L41" s="9">
        <f>C41-H41</f>
        <v/>
      </c>
      <c r="M41" s="9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8">
      <c r="A42" s="9" t="n">
        <v>40</v>
      </c>
      <c r="B42" s="10" t="n">
        <v>0.5590000000000001</v>
      </c>
      <c r="C42" s="10" t="n">
        <v>-0.447</v>
      </c>
      <c r="D42" s="10" t="n">
        <v>0.307</v>
      </c>
      <c r="E42" s="11" t="n"/>
      <c r="F42" s="9" t="n">
        <v>40</v>
      </c>
      <c r="G42" s="12" t="n">
        <v>-0.483</v>
      </c>
      <c r="H42" s="12" t="n">
        <v>0.719</v>
      </c>
      <c r="I42" s="12" t="n">
        <v>-0.301</v>
      </c>
      <c r="J42" s="11" t="n"/>
      <c r="K42" s="9">
        <f>B42-G42</f>
        <v/>
      </c>
      <c r="L42" s="9">
        <f>C42-H42</f>
        <v/>
      </c>
      <c r="M42" s="9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8">
      <c r="A43" s="9" t="n">
        <v>41</v>
      </c>
      <c r="B43" s="10" t="n">
        <v>0.705</v>
      </c>
      <c r="C43" s="10" t="n">
        <v>-0.324</v>
      </c>
      <c r="D43" s="10" t="n">
        <v>0.276</v>
      </c>
      <c r="E43" s="11" t="n"/>
      <c r="F43" s="9" t="n">
        <v>41</v>
      </c>
      <c r="G43" s="12" t="n">
        <v>-0.432</v>
      </c>
      <c r="H43" s="12" t="n">
        <v>0.534</v>
      </c>
      <c r="I43" s="12" t="n">
        <v>-0.251</v>
      </c>
      <c r="J43" s="11" t="n"/>
      <c r="K43" s="9">
        <f>B43-G43</f>
        <v/>
      </c>
      <c r="L43" s="9">
        <f>C43-H43</f>
        <v/>
      </c>
      <c r="M43" s="9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8">
      <c r="A44" s="9" t="n">
        <v>42</v>
      </c>
      <c r="B44" s="10" t="n">
        <v>0.432</v>
      </c>
      <c r="C44" s="10" t="n">
        <v>-0.354</v>
      </c>
      <c r="D44" s="10" t="n">
        <v>0.2</v>
      </c>
      <c r="E44" s="11" t="n"/>
      <c r="F44" s="9" t="n">
        <v>42</v>
      </c>
      <c r="G44" s="12" t="n">
        <v>-0.535</v>
      </c>
      <c r="H44" s="12" t="n">
        <v>0.626</v>
      </c>
      <c r="I44" s="12" t="n">
        <v>-0.292</v>
      </c>
      <c r="J44" s="11" t="n"/>
      <c r="K44" s="9">
        <f>B44-G44</f>
        <v/>
      </c>
      <c r="L44" s="9">
        <f>C44-H44</f>
        <v/>
      </c>
      <c r="M44" s="9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8">
      <c r="A45" s="9" t="n">
        <v>43</v>
      </c>
      <c r="B45" s="10" t="n">
        <v>0.312</v>
      </c>
      <c r="C45" s="10" t="n">
        <v>-0.328</v>
      </c>
      <c r="D45" s="10" t="n">
        <v>0.185</v>
      </c>
      <c r="E45" s="11" t="n"/>
      <c r="F45" s="9" t="n">
        <v>43</v>
      </c>
      <c r="G45" s="12" t="n">
        <v>-0.357</v>
      </c>
      <c r="H45" s="12" t="n">
        <v>0.515</v>
      </c>
      <c r="I45" s="12" t="n">
        <v>-0.22</v>
      </c>
      <c r="J45" s="11" t="n"/>
      <c r="K45" s="9">
        <f>B45-G45</f>
        <v/>
      </c>
      <c r="L45" s="9">
        <f>C45-H45</f>
        <v/>
      </c>
      <c r="M45" s="9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8">
      <c r="A46" s="9" t="n">
        <v>44</v>
      </c>
      <c r="B46" s="10" t="n">
        <v>0.626</v>
      </c>
      <c r="C46" s="10" t="n">
        <v>-0.556</v>
      </c>
      <c r="D46" s="10" t="n">
        <v>0.248</v>
      </c>
      <c r="E46" s="11" t="n"/>
      <c r="F46" s="9" t="n">
        <v>44</v>
      </c>
      <c r="G46" s="12" t="n">
        <v>-0.523</v>
      </c>
      <c r="H46" s="12" t="n">
        <v>0.675</v>
      </c>
      <c r="I46" s="12" t="n">
        <v>-0.292</v>
      </c>
      <c r="J46" s="11" t="n"/>
      <c r="K46" s="9">
        <f>B46-G46</f>
        <v/>
      </c>
      <c r="L46" s="9">
        <f>C46-H46</f>
        <v/>
      </c>
      <c r="M46" s="9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8">
      <c r="A47" s="9" t="n">
        <v>45</v>
      </c>
      <c r="B47" s="10" t="n">
        <v>0.658</v>
      </c>
      <c r="C47" s="10" t="n">
        <v>-0.481</v>
      </c>
      <c r="D47" s="10" t="n">
        <v>0.304</v>
      </c>
      <c r="E47" s="11" t="n"/>
      <c r="F47" s="9" t="n">
        <v>45</v>
      </c>
      <c r="G47" s="12" t="n">
        <v>-0.445</v>
      </c>
      <c r="H47" s="12" t="n">
        <v>0.526</v>
      </c>
      <c r="I47" s="12" t="n">
        <v>-0.251</v>
      </c>
      <c r="J47" s="11" t="n"/>
      <c r="K47" s="9">
        <f>B47-G47</f>
        <v/>
      </c>
      <c r="L47" s="9">
        <f>C47-H47</f>
        <v/>
      </c>
      <c r="M47" s="9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8">
      <c r="A48" s="9" t="n">
        <v>46</v>
      </c>
      <c r="B48" s="10" t="n">
        <v>0.646</v>
      </c>
      <c r="C48" s="10" t="n">
        <v>-0.432</v>
      </c>
      <c r="D48" s="10" t="n">
        <v>0.279</v>
      </c>
      <c r="E48" s="11" t="n"/>
      <c r="F48" s="9" t="n">
        <v>46</v>
      </c>
      <c r="G48" s="12" t="n">
        <v>-0.571</v>
      </c>
      <c r="H48" s="12" t="n">
        <v>0.764</v>
      </c>
      <c r="I48" s="12" t="n">
        <v>-0.304</v>
      </c>
      <c r="J48" s="11" t="n"/>
      <c r="K48" s="9">
        <f>B48-G48</f>
        <v/>
      </c>
      <c r="L48" s="9">
        <f>C48-H48</f>
        <v/>
      </c>
      <c r="M48" s="9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8">
      <c r="A49" s="9" t="n">
        <v>47</v>
      </c>
      <c r="B49" s="10" t="n">
        <v>0.381</v>
      </c>
      <c r="C49" s="10" t="n">
        <v>-0.351</v>
      </c>
      <c r="D49" s="10" t="n">
        <v>0.233</v>
      </c>
      <c r="E49" s="11" t="n"/>
      <c r="F49" s="9" t="n">
        <v>47</v>
      </c>
      <c r="G49" s="12" t="n">
        <v>-0.445</v>
      </c>
      <c r="H49" s="12" t="n">
        <v>0.665</v>
      </c>
      <c r="I49" s="12" t="n">
        <v>-0.279</v>
      </c>
      <c r="J49" s="11" t="n"/>
      <c r="K49" s="9">
        <f>B49-G49</f>
        <v/>
      </c>
      <c r="L49" s="9">
        <f>C49-H49</f>
        <v/>
      </c>
      <c r="M49" s="9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8">
      <c r="A50" s="9" t="n">
        <v>48</v>
      </c>
      <c r="B50" s="10" t="n">
        <v>0.308</v>
      </c>
      <c r="C50" s="10" t="n">
        <v>-0.288</v>
      </c>
      <c r="D50" s="10" t="n">
        <v>0.191</v>
      </c>
      <c r="E50" s="11" t="n"/>
      <c r="F50" s="9" t="n">
        <v>48</v>
      </c>
      <c r="G50" s="12" t="n">
        <v>-0.597</v>
      </c>
      <c r="H50" s="12" t="n">
        <v>0.628</v>
      </c>
      <c r="I50" s="12" t="n">
        <v>-0.27</v>
      </c>
      <c r="J50" s="11" t="n"/>
      <c r="K50" s="9">
        <f>B50-G50</f>
        <v/>
      </c>
      <c r="L50" s="9">
        <f>C50-H50</f>
        <v/>
      </c>
      <c r="M50" s="9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8">
      <c r="A51" s="9" t="n">
        <v>49</v>
      </c>
      <c r="B51" s="10" t="n">
        <v>0.712</v>
      </c>
      <c r="C51" s="10" t="n">
        <v>-0.649</v>
      </c>
      <c r="D51" s="10" t="n">
        <v>0.347</v>
      </c>
      <c r="E51" s="11" t="n"/>
      <c r="F51" s="9" t="n">
        <v>49</v>
      </c>
      <c r="G51" s="12" t="n">
        <v>-0.538</v>
      </c>
      <c r="H51" s="12" t="n">
        <v>0.575</v>
      </c>
      <c r="I51" s="12" t="n">
        <v>-0.253</v>
      </c>
      <c r="J51" s="11" t="n"/>
      <c r="K51" s="9">
        <f>B51-G51</f>
        <v/>
      </c>
      <c r="L51" s="9">
        <f>C51-H51</f>
        <v/>
      </c>
      <c r="M51" s="9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8">
      <c r="A52" s="9" t="n">
        <v>50</v>
      </c>
      <c r="B52" s="10" t="n">
        <v>0.771</v>
      </c>
      <c r="C52" s="10" t="n">
        <v>-0.577</v>
      </c>
      <c r="D52" s="10" t="n">
        <v>0.349</v>
      </c>
      <c r="E52" s="11" t="n"/>
      <c r="F52" s="9" t="n">
        <v>50</v>
      </c>
      <c r="G52" s="12" t="n">
        <v>-0.504</v>
      </c>
      <c r="H52" s="12" t="n">
        <v>0.5659999999999999</v>
      </c>
      <c r="I52" s="12" t="n">
        <v>-0.249</v>
      </c>
      <c r="J52" s="11" t="n"/>
      <c r="K52" s="9">
        <f>B52-G52</f>
        <v/>
      </c>
      <c r="L52" s="9">
        <f>C52-H52</f>
        <v/>
      </c>
      <c r="M52" s="9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 ht="15.75" customHeight="1" s="1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 ht="15.75" customHeight="1" s="1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 ht="15.75" customHeight="1" s="1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 ht="15.75" customHeight="1" s="1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 ht="15.75" customHeight="1" s="1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 ht="15.75" customHeight="1" s="1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 ht="15.75" customHeight="1" s="1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 ht="15.75" customHeight="1" s="1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 ht="15.75" customHeight="1" s="1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 ht="15.75" customHeight="1" s="1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 ht="15.75" customHeight="1" s="1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 ht="15.75" customHeight="1" s="1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 ht="15.75" customHeight="1" s="1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 ht="15.75" customHeight="1" s="1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 ht="15.75" customHeight="1" s="1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 ht="15.75" customHeight="1" s="1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 ht="15.75" customHeight="1" s="1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 ht="15.75" customHeight="1" s="1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 ht="15.75" customHeight="1" s="1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 ht="15.75" customHeight="1" s="1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 ht="15.75" customHeight="1" s="1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 ht="15.75" customHeight="1" s="1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 ht="15.75" customHeight="1" s="1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 ht="15.75" customHeight="1" s="1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 ht="15.75" customHeight="1" s="1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 ht="15.75" customHeight="1" s="1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 ht="15.75" customHeight="1" s="1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 ht="15.75" customHeight="1" s="1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 ht="15.75" customHeight="1" s="1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 ht="15.75" customHeight="1" s="1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 ht="15.75" customHeight="1" s="1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 ht="15.75" customHeight="1" s="1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 ht="15.75" customHeight="1" s="1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 ht="15.75" customHeight="1" s="1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 ht="15.75" customHeight="1" s="1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 ht="15.75" customHeight="1" s="1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 ht="15.75" customHeight="1" s="1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 ht="15.75" customHeight="1" s="1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 ht="15.75" customHeight="1" s="1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 ht="15.75" customHeight="1" s="1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 ht="15.75" customHeight="1" s="1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 ht="15.75" customHeight="1" s="1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 ht="15.75" customHeight="1" s="1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 ht="15.75" customHeight="1" s="1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 ht="15.75" customHeight="1" s="1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 ht="15.75" customHeight="1" s="1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 ht="15.75" customHeight="1" s="1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 ht="15.75" customHeight="1" s="1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 ht="15.75" customHeight="1" s="1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 ht="15.75" customHeight="1" s="1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 ht="15.75" customHeight="1" s="1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 ht="15.75" customHeight="1" s="1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 ht="15.75" customHeight="1" s="1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 ht="15.75" customHeight="1" s="1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 ht="15.75" customHeight="1" s="1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 ht="15.75" customHeight="1" s="1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 ht="15.75" customHeight="1" s="1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 ht="15.75" customHeight="1" s="1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 ht="15.75" customHeight="1" s="1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 ht="15.75" customHeight="1" s="1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 ht="15.75" customHeight="1" s="1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 ht="15.75" customHeight="1" s="1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 ht="15.75" customHeight="1" s="1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 ht="15.75" customHeight="1" s="1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 ht="15.75" customHeight="1" s="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 ht="15.75" customHeight="1" s="1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 ht="15.75" customHeight="1" s="1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 ht="15.75" customHeight="1" s="1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 ht="15.75" customHeight="1" s="1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 ht="15.75" customHeight="1" s="1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 ht="15.75" customHeight="1" s="1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 ht="15.75" customHeight="1" s="1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 ht="15.75" customHeight="1" s="1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 ht="15.75" customHeight="1" s="1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 ht="15.75" customHeight="1" s="1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 ht="15.75" customHeight="1" s="1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 ht="15.75" customHeight="1" s="1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 ht="15.75" customHeight="1" s="1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 ht="15.75" customHeight="1" s="1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 ht="15.75" customHeight="1" s="1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 ht="15.75" customHeight="1" s="1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 ht="15.75" customHeight="1" s="1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 ht="15.75" customHeight="1" s="1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 ht="15.75" customHeight="1" s="1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 ht="15.75" customHeight="1" s="1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 ht="15.75" customHeight="1" s="1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 ht="15.75" customHeight="1" s="1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 ht="15.75" customHeight="1" s="1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 ht="15.75" customHeight="1" s="1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 ht="15.75" customHeight="1" s="1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 ht="15.75" customHeight="1" s="1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 ht="15.75" customHeight="1" s="1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 ht="15.75" customHeight="1" s="1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 ht="15.75" customHeight="1" s="1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 ht="15.75" customHeight="1" s="1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 ht="15.75" customHeight="1" s="1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 ht="15.75" customHeight="1" s="1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 ht="15.75" customHeight="1" s="1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 ht="15.75" customHeight="1" s="1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 ht="15.75" customHeight="1" s="1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 ht="15.75" customHeight="1" s="1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 ht="15.75" customHeight="1" s="1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 ht="15.75" customHeight="1" s="1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 ht="15.75" customHeight="1" s="1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 ht="15.75" customHeight="1" s="1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 ht="15.75" customHeight="1" s="1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 ht="15.75" customHeight="1" s="1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 ht="15.75" customHeight="1" s="1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 ht="15.75" customHeight="1" s="1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 ht="15.75" customHeight="1" s="1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 ht="15.75" customHeight="1" s="1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 ht="15.75" customHeight="1" s="1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 ht="15.75" customHeight="1" s="1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 ht="15.75" customHeight="1" s="1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 ht="15.75" customHeight="1" s="1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 ht="15.75" customHeight="1" s="1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 ht="15.75" customHeight="1" s="1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 ht="15.75" customHeight="1" s="1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 ht="15.75" customHeight="1" s="1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 ht="15.75" customHeight="1" s="1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 ht="15.75" customHeight="1" s="1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 ht="15.75" customHeight="1" s="1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 ht="15.75" customHeight="1" s="1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 ht="15.75" customHeight="1" s="1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 ht="15.75" customHeight="1" s="1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 ht="15.75" customHeight="1" s="1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 ht="15.75" customHeight="1" s="1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 ht="15.75" customHeight="1" s="1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 ht="15.75" customHeight="1" s="1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 ht="15.75" customHeight="1" s="1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 ht="15.75" customHeight="1" s="1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 ht="15.75" customHeight="1" s="1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 ht="15.75" customHeight="1" s="1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 ht="15.75" customHeight="1" s="1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 ht="15.75" customHeight="1" s="1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 ht="15.75" customHeight="1" s="1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 ht="15.75" customHeight="1" s="1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 ht="15.75" customHeight="1" s="1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 ht="15.75" customHeight="1" s="1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 ht="15.75" customHeight="1" s="1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 ht="15.75" customHeight="1" s="1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 ht="15.75" customHeight="1" s="1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 ht="15.75" customHeight="1" s="1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 ht="15.75" customHeight="1" s="1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 ht="15.75" customHeight="1" s="1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 ht="15.75" customHeight="1" s="1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 ht="15.75" customHeight="1" s="1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 ht="15.75" customHeight="1" s="1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 ht="15.75" customHeight="1" s="1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 ht="15.75" customHeight="1" s="1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 ht="15.75" customHeight="1" s="1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 ht="15.75" customHeight="1" s="1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 ht="15.75" customHeight="1" s="1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 ht="15.75" customHeight="1" s="1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 ht="15.75" customHeight="1" s="1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 ht="15.75" customHeight="1" s="1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 ht="15.75" customHeight="1" s="1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 ht="15.75" customHeight="1" s="1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 ht="15.75" customHeight="1" s="1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 ht="15.75" customHeight="1" s="1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 ht="15.75" customHeight="1" s="1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 ht="15.75" customHeight="1" s="1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 ht="15.75" customHeight="1" s="1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 ht="15.75" customHeight="1" s="1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 ht="15.75" customHeight="1" s="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 ht="15.75" customHeight="1" s="1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 ht="15.75" customHeight="1" s="1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 ht="15.75" customHeight="1" s="1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 ht="15.75" customHeight="1" s="1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 ht="15.75" customHeight="1" s="1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 ht="15.75" customHeight="1" s="1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 ht="15.75" customHeight="1" s="1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 ht="15.75" customHeight="1" s="1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 ht="15.75" customHeight="1" s="1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 ht="15.75" customHeight="1" s="1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 ht="15.75" customHeight="1" s="1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 ht="15.75" customHeight="1" s="1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 ht="15.75" customHeight="1" s="1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 ht="15.75" customHeight="1" s="1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 ht="15.75" customHeight="1" s="1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 ht="15.75" customHeight="1" s="1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 ht="15.75" customHeight="1" s="1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 ht="15.75" customHeight="1" s="1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 ht="15.75" customHeight="1" s="1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 ht="15.75" customHeight="1" s="1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 ht="15.75" customHeight="1" s="1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 ht="15.75" customHeight="1" s="1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 ht="15.75" customHeight="1" s="1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 ht="15.75" customHeight="1" s="1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 ht="15.75" customHeight="1" s="1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 ht="15.75" customHeight="1" s="1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 ht="15.75" customHeight="1" s="1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 ht="15.75" customHeight="1" s="1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 ht="15.75" customHeight="1" s="1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 ht="15.75" customHeight="1" s="1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 ht="15.75" customHeight="1" s="1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 ht="15.75" customHeight="1" s="1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 ht="15.75" customHeight="1" s="1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 ht="15.75" customHeight="1" s="1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 ht="15.75" customHeight="1" s="1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 ht="15.75" customHeight="1" s="1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 ht="15.75" customHeight="1" s="1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 ht="15.75" customHeight="1" s="1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 ht="15.75" customHeight="1" s="1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 ht="15.75" customHeight="1" s="1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 ht="15.75" customHeight="1" s="1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 ht="15.75" customHeight="1" s="1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 ht="15.75" customHeight="1" s="1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 ht="15.75" customHeight="1" s="1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 ht="15.75" customHeight="1" s="1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 ht="15.75" customHeight="1" s="1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 ht="15.75" customHeight="1" s="1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 ht="15.75" customHeight="1" s="1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 ht="15.75" customHeight="1" s="1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 ht="15.75" customHeight="1" s="1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 ht="15.75" customHeight="1" s="1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 ht="15.75" customHeight="1" s="1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 ht="15.75" customHeight="1" s="1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 ht="15.75" customHeight="1" s="1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 ht="15.75" customHeight="1" s="1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 ht="15.75" customHeight="1" s="1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 ht="15.75" customHeight="1" s="1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 ht="15.75" customHeight="1" s="1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 ht="15.75" customHeight="1" s="1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 ht="15.75" customHeight="1" s="1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 ht="15.75" customHeight="1" s="1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 ht="15.75" customHeight="1" s="1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 ht="15.75" customHeight="1" s="1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 ht="15.75" customHeight="1" s="1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 ht="15.75" customHeight="1" s="1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 ht="15.75" customHeight="1" s="1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 ht="15.75" customHeight="1" s="1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 ht="15.75" customHeight="1" s="1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 ht="15.75" customHeight="1" s="1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 ht="15.75" customHeight="1" s="1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 ht="15.75" customHeight="1" s="1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 ht="15.75" customHeight="1" s="1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 ht="15.75" customHeight="1" s="1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 ht="15.75" customHeight="1" s="1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 ht="15.75" customHeight="1" s="1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 ht="15.75" customHeight="1" s="1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 ht="15.75" customHeight="1" s="1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 ht="15.75" customHeight="1" s="1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 ht="15.75" customHeight="1" s="1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 ht="15.75" customHeight="1" s="1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 ht="15.75" customHeight="1" s="1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 ht="15.75" customHeight="1" s="1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 ht="15.75" customHeight="1" s="1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 ht="15.75" customHeight="1" s="1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 ht="15.75" customHeight="1" s="1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 ht="15.75" customHeight="1" s="1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 ht="15.75" customHeight="1" s="1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 ht="15.75" customHeight="1" s="1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 ht="15.75" customHeight="1" s="1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 ht="15.75" customHeight="1" s="1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 ht="15.75" customHeight="1" s="1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 ht="15.75" customHeight="1" s="1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 ht="15.75" customHeight="1" s="1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 ht="15.75" customHeight="1" s="1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 ht="15.75" customHeight="1" s="1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 ht="15.75" customHeight="1" s="1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 ht="15.75" customHeight="1" s="1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 ht="15.75" customHeight="1" s="1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 ht="15.75" customHeight="1" s="1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 ht="15.75" customHeight="1" s="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 ht="15.75" customHeight="1" s="1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 ht="15.75" customHeight="1" s="1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 ht="15.75" customHeight="1" s="1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 ht="15.75" customHeight="1" s="1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 ht="15.75" customHeight="1" s="1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 ht="15.75" customHeight="1" s="1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 ht="15.75" customHeight="1" s="1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 ht="15.75" customHeight="1" s="1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 ht="15.75" customHeight="1" s="1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 ht="15.75" customHeight="1" s="1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 ht="15.75" customHeight="1" s="1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 ht="15.75" customHeight="1" s="1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 ht="15.75" customHeight="1" s="1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 ht="15.75" customHeight="1" s="1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 ht="15.75" customHeight="1" s="1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 ht="15.75" customHeight="1" s="1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 ht="15.75" customHeight="1" s="1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 ht="15.75" customHeight="1" s="1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 ht="15.75" customHeight="1" s="1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 ht="15.75" customHeight="1" s="1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 ht="15.75" customHeight="1" s="1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 ht="15.75" customHeight="1" s="1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 ht="15.75" customHeight="1" s="1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 ht="15.75" customHeight="1" s="1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 ht="15.75" customHeight="1" s="1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 ht="15.75" customHeight="1" s="1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 ht="15.75" customHeight="1" s="1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 ht="15.75" customHeight="1" s="1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 ht="15.75" customHeight="1" s="1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 ht="15.75" customHeight="1" s="1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 ht="15.75" customHeight="1" s="1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 ht="15.75" customHeight="1" s="1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 ht="15.75" customHeight="1" s="1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 ht="15.75" customHeight="1" s="1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 ht="15.75" customHeight="1" s="1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 ht="15.75" customHeight="1" s="1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 ht="15.75" customHeight="1" s="1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 ht="15.75" customHeight="1" s="1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 ht="15.75" customHeight="1" s="1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 ht="15.75" customHeight="1" s="1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 ht="15.75" customHeight="1" s="1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 ht="15.75" customHeight="1" s="1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 ht="15.75" customHeight="1" s="1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 ht="15.75" customHeight="1" s="1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 ht="15.75" customHeight="1" s="1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 ht="15.75" customHeight="1" s="1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 ht="15.75" customHeight="1" s="1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 ht="15.75" customHeight="1" s="1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 ht="15.75" customHeight="1" s="1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 ht="15.75" customHeight="1" s="1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 ht="15.75" customHeight="1" s="1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 ht="15.75" customHeight="1" s="1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 ht="15.75" customHeight="1" s="1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 ht="15.75" customHeight="1" s="1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 ht="15.75" customHeight="1" s="1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 ht="15.75" customHeight="1" s="1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 ht="15.75" customHeight="1" s="1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 ht="15.75" customHeight="1" s="1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 ht="15.75" customHeight="1" s="1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 ht="15.75" customHeight="1" s="1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 ht="15.75" customHeight="1" s="1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 ht="15.75" customHeight="1" s="1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 ht="15.75" customHeight="1" s="1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 ht="15.75" customHeight="1" s="1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 ht="15.75" customHeight="1" s="1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 ht="15.75" customHeight="1" s="1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 ht="15.75" customHeight="1" s="1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 ht="15.75" customHeight="1" s="1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 ht="15.75" customHeight="1" s="1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 ht="15.75" customHeight="1" s="1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 ht="15.75" customHeight="1" s="1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 ht="15.75" customHeight="1" s="1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 ht="15.75" customHeight="1" s="1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 ht="15.75" customHeight="1" s="1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 ht="15.75" customHeight="1" s="1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 ht="15.75" customHeight="1" s="1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 ht="15.75" customHeight="1" s="1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 ht="15.75" customHeight="1" s="1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 ht="15.75" customHeight="1" s="1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 ht="15.75" customHeight="1" s="1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 ht="15.75" customHeight="1" s="1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 ht="15.75" customHeight="1" s="1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 ht="15.75" customHeight="1" s="1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 ht="15.75" customHeight="1" s="1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 ht="15.75" customHeight="1" s="1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 ht="15.75" customHeight="1" s="1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 ht="15.75" customHeight="1" s="1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 ht="15.75" customHeight="1" s="1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 ht="15.75" customHeight="1" s="1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 ht="15.75" customHeight="1" s="1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 ht="15.75" customHeight="1" s="1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 ht="15.75" customHeight="1" s="1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 ht="15.75" customHeight="1" s="1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 ht="15.75" customHeight="1" s="1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 ht="15.75" customHeight="1" s="1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 ht="15.75" customHeight="1" s="1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 ht="15.75" customHeight="1" s="1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 ht="15.75" customHeight="1" s="1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 ht="15.75" customHeight="1" s="1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 ht="15.75" customHeight="1" s="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 ht="15.75" customHeight="1" s="1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 ht="15.75" customHeight="1" s="1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 ht="15.75" customHeight="1" s="1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 ht="15.75" customHeight="1" s="1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 ht="15.75" customHeight="1" s="1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 ht="15.75" customHeight="1" s="1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 ht="15.75" customHeight="1" s="1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 ht="15.75" customHeight="1" s="1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 ht="15.75" customHeight="1" s="1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 ht="15.75" customHeight="1" s="1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 ht="15.75" customHeight="1" s="1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 ht="15.75" customHeight="1" s="1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 ht="15.75" customHeight="1" s="1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 ht="15.75" customHeight="1" s="1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 ht="15.75" customHeight="1" s="1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 ht="15.75" customHeight="1" s="1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 ht="15.75" customHeight="1" s="1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 ht="15.75" customHeight="1" s="1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 ht="15.75" customHeight="1" s="1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 ht="15.75" customHeight="1" s="1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 ht="15.75" customHeight="1" s="1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 ht="15.75" customHeight="1" s="1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 ht="15.75" customHeight="1" s="1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 ht="15.75" customHeight="1" s="1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 ht="15.75" customHeight="1" s="1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 ht="15.75" customHeight="1" s="1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 ht="15.75" customHeight="1" s="1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 ht="15.75" customHeight="1" s="1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 ht="15.75" customHeight="1" s="1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 ht="15.75" customHeight="1" s="1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 ht="15.75" customHeight="1" s="1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 ht="15.75" customHeight="1" s="1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 ht="15.75" customHeight="1" s="1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 ht="15.75" customHeight="1" s="1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 ht="15.75" customHeight="1" s="1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 ht="15.75" customHeight="1" s="1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 ht="15.75" customHeight="1" s="1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 ht="15.75" customHeight="1" s="1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 ht="15.75" customHeight="1" s="1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 ht="15.75" customHeight="1" s="1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 ht="15.75" customHeight="1" s="1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 ht="15.75" customHeight="1" s="1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 ht="15.75" customHeight="1" s="1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 ht="15.75" customHeight="1" s="1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 ht="15.75" customHeight="1" s="1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 ht="15.75" customHeight="1" s="1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 ht="15.75" customHeight="1" s="1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 ht="15.75" customHeight="1" s="1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 ht="15.75" customHeight="1" s="1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 ht="15.75" customHeight="1" s="1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 ht="15.75" customHeight="1" s="1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 ht="15.75" customHeight="1" s="1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 ht="15.75" customHeight="1" s="1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 ht="15.75" customHeight="1" s="1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 ht="15.75" customHeight="1" s="1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 ht="15.75" customHeight="1" s="1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 ht="15.75" customHeight="1" s="1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 ht="15.75" customHeight="1" s="1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 ht="15.75" customHeight="1" s="1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 ht="15.75" customHeight="1" s="1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 ht="15.75" customHeight="1" s="1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 ht="15.75" customHeight="1" s="1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 ht="15.75" customHeight="1" s="1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 ht="15.75" customHeight="1" s="1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 ht="15.75" customHeight="1" s="1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 ht="15.75" customHeight="1" s="1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 ht="15.75" customHeight="1" s="1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 ht="15.75" customHeight="1" s="1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 ht="15.75" customHeight="1" s="1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 ht="15.75" customHeight="1" s="1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 ht="15.75" customHeight="1" s="1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 ht="15.75" customHeight="1" s="1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 ht="15.75" customHeight="1" s="1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 ht="15.75" customHeight="1" s="1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 ht="15.75" customHeight="1" s="1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 ht="15.75" customHeight="1" s="1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 ht="15.75" customHeight="1" s="1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 ht="15.75" customHeight="1" s="1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 ht="15.75" customHeight="1" s="1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 ht="15.75" customHeight="1" s="1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 ht="15.75" customHeight="1" s="1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 ht="15.75" customHeight="1" s="1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 ht="15.75" customHeight="1" s="1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 ht="15.75" customHeight="1" s="1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 ht="15.75" customHeight="1" s="1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 ht="15.75" customHeight="1" s="1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 ht="15.75" customHeight="1" s="1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 ht="15.75" customHeight="1" s="1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 ht="15.75" customHeight="1" s="1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 ht="15.75" customHeight="1" s="1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 ht="15.75" customHeight="1" s="1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 ht="15.75" customHeight="1" s="1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 ht="15.75" customHeight="1" s="1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 ht="15.75" customHeight="1" s="1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 ht="15.75" customHeight="1" s="1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 ht="15.75" customHeight="1" s="1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 ht="15.75" customHeight="1" s="1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 ht="15.75" customHeight="1" s="1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 ht="15.75" customHeight="1" s="1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 ht="15.75" customHeight="1" s="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 ht="15.75" customHeight="1" s="1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 ht="15.75" customHeight="1" s="1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 ht="15.75" customHeight="1" s="1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 ht="15.75" customHeight="1" s="1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 ht="15.75" customHeight="1" s="1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 ht="15.75" customHeight="1" s="1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 ht="15.75" customHeight="1" s="1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 ht="15.75" customHeight="1" s="1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 ht="15.75" customHeight="1" s="1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 ht="15.75" customHeight="1" s="1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 ht="15.75" customHeight="1" s="1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 ht="15.75" customHeight="1" s="1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 ht="15.75" customHeight="1" s="1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 ht="15.75" customHeight="1" s="1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 ht="15.75" customHeight="1" s="1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 ht="15.75" customHeight="1" s="1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 ht="15.75" customHeight="1" s="1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 ht="15.75" customHeight="1" s="1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 ht="15.75" customHeight="1" s="1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 ht="15.75" customHeight="1" s="1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 ht="15.75" customHeight="1" s="1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 ht="15.75" customHeight="1" s="1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 ht="15.75" customHeight="1" s="1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 ht="15.75" customHeight="1" s="1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 ht="15.75" customHeight="1" s="1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 ht="15.75" customHeight="1" s="1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 ht="15.75" customHeight="1" s="1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 ht="15.75" customHeight="1" s="1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 ht="15.75" customHeight="1" s="1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 ht="15.75" customHeight="1" s="1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 ht="15.75" customHeight="1" s="1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 ht="15.75" customHeight="1" s="1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 ht="15.75" customHeight="1" s="1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 ht="15.75" customHeight="1" s="1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 ht="15.75" customHeight="1" s="1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 ht="15.75" customHeight="1" s="1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 ht="15.75" customHeight="1" s="1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 ht="15.75" customHeight="1" s="1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 ht="15.75" customHeight="1" s="1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 ht="15.75" customHeight="1" s="1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 ht="15.75" customHeight="1" s="1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 ht="15.75" customHeight="1" s="1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 ht="15.75" customHeight="1" s="1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 ht="15.75" customHeight="1" s="1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 ht="15.75" customHeight="1" s="1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 ht="15.75" customHeight="1" s="1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 ht="15.75" customHeight="1" s="1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 ht="15.75" customHeight="1" s="1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 ht="15.75" customHeight="1" s="1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 ht="15.75" customHeight="1" s="1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 ht="15.75" customHeight="1" s="1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 ht="15.75" customHeight="1" s="1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 ht="15.75" customHeight="1" s="1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 ht="15.75" customHeight="1" s="1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 ht="15.75" customHeight="1" s="1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 ht="15.75" customHeight="1" s="1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 ht="15.75" customHeight="1" s="1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 ht="15.75" customHeight="1" s="1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 ht="15.75" customHeight="1" s="1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 ht="15.75" customHeight="1" s="1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 ht="15.75" customHeight="1" s="1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 ht="15.75" customHeight="1" s="1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 ht="15.75" customHeight="1" s="1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 ht="15.75" customHeight="1" s="1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 ht="15.75" customHeight="1" s="1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 ht="15.75" customHeight="1" s="1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 ht="15.75" customHeight="1" s="1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 ht="15.75" customHeight="1" s="1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 ht="15.75" customHeight="1" s="1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 ht="15.75" customHeight="1" s="1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 ht="15.75" customHeight="1" s="1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 ht="15.75" customHeight="1" s="1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 ht="15.75" customHeight="1" s="1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 ht="15.75" customHeight="1" s="1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 ht="15.75" customHeight="1" s="1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 ht="15.75" customHeight="1" s="1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 ht="15.75" customHeight="1" s="1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 ht="15.75" customHeight="1" s="1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 ht="15.75" customHeight="1" s="1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 ht="15.75" customHeight="1" s="1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 ht="15.75" customHeight="1" s="1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 ht="15.75" customHeight="1" s="1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 ht="15.75" customHeight="1" s="1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 ht="15.75" customHeight="1" s="1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 ht="15.75" customHeight="1" s="1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 ht="15.75" customHeight="1" s="1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 ht="15.75" customHeight="1" s="1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 ht="15.75" customHeight="1" s="1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 ht="15.75" customHeight="1" s="1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 ht="15.75" customHeight="1" s="1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 ht="15.75" customHeight="1" s="1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 ht="15.75" customHeight="1" s="1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 ht="15.75" customHeight="1" s="1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 ht="15.75" customHeight="1" s="1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 ht="15.75" customHeight="1" s="1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 ht="15.75" customHeight="1" s="1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 ht="15.75" customHeight="1" s="1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 ht="15.75" customHeight="1" s="1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 ht="15.75" customHeight="1" s="1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 ht="15.75" customHeight="1" s="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 ht="15.75" customHeight="1" s="1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 ht="15.75" customHeight="1" s="1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 ht="15.75" customHeight="1" s="1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 ht="15.75" customHeight="1" s="1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 ht="15.75" customHeight="1" s="1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 ht="15.75" customHeight="1" s="1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 ht="15.75" customHeight="1" s="1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 ht="15.75" customHeight="1" s="1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 ht="15.75" customHeight="1" s="1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 ht="15.75" customHeight="1" s="1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 ht="15.75" customHeight="1" s="1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 ht="15.75" customHeight="1" s="1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 ht="15.75" customHeight="1" s="1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 ht="15.75" customHeight="1" s="1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 ht="15.75" customHeight="1" s="1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 ht="15.75" customHeight="1" s="1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 ht="15.75" customHeight="1" s="1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 ht="15.75" customHeight="1" s="1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 ht="15.75" customHeight="1" s="1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 ht="15.75" customHeight="1" s="1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 ht="15.75" customHeight="1" s="1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 ht="15.75" customHeight="1" s="1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 ht="15.75" customHeight="1" s="1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 ht="15.75" customHeight="1" s="1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 ht="15.75" customHeight="1" s="1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 ht="15.75" customHeight="1" s="1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 ht="15.75" customHeight="1" s="1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 ht="15.75" customHeight="1" s="1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 ht="15.75" customHeight="1" s="1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 ht="15.75" customHeight="1" s="1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 ht="15.75" customHeight="1" s="1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 ht="15.75" customHeight="1" s="1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 ht="15.75" customHeight="1" s="1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 ht="15.75" customHeight="1" s="1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 ht="15.75" customHeight="1" s="1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 ht="15.75" customHeight="1" s="1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 ht="15.75" customHeight="1" s="1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 ht="15.75" customHeight="1" s="1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 ht="15.75" customHeight="1" s="1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 ht="15.75" customHeight="1" s="1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 ht="15.75" customHeight="1" s="1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 ht="15.75" customHeight="1" s="1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 ht="15.75" customHeight="1" s="1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 ht="15.75" customHeight="1" s="1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 ht="15.75" customHeight="1" s="1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 ht="15.75" customHeight="1" s="1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 ht="15.75" customHeight="1" s="1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 ht="15.75" customHeight="1" s="1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 ht="15.75" customHeight="1" s="1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 ht="15.75" customHeight="1" s="1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 ht="15.75" customHeight="1" s="1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 ht="15.75" customHeight="1" s="1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 ht="15.75" customHeight="1" s="1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 ht="15.75" customHeight="1" s="1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 ht="15.75" customHeight="1" s="1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 ht="15.75" customHeight="1" s="1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 ht="15.75" customHeight="1" s="1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 ht="15.75" customHeight="1" s="1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 ht="15.75" customHeight="1" s="1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 ht="15.75" customHeight="1" s="1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 ht="15.75" customHeight="1" s="1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 ht="15.75" customHeight="1" s="1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 ht="15.75" customHeight="1" s="1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 ht="15.75" customHeight="1" s="1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 ht="15.75" customHeight="1" s="1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 ht="15.75" customHeight="1" s="1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 ht="15.75" customHeight="1" s="1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 ht="15.75" customHeight="1" s="1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 ht="15.75" customHeight="1" s="1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 ht="15.75" customHeight="1" s="1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 ht="15.75" customHeight="1" s="1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 ht="15.75" customHeight="1" s="1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 ht="15.75" customHeight="1" s="1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 ht="15.75" customHeight="1" s="1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 ht="15.75" customHeight="1" s="1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 ht="15.75" customHeight="1" s="1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 ht="15.75" customHeight="1" s="1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 ht="15.75" customHeight="1" s="1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 ht="15.75" customHeight="1" s="1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 ht="15.75" customHeight="1" s="1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 ht="15.75" customHeight="1" s="1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 ht="15.75" customHeight="1" s="1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 ht="15.75" customHeight="1" s="1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 ht="15.75" customHeight="1" s="1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 ht="15.75" customHeight="1" s="1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 ht="15.75" customHeight="1" s="1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 ht="15.75" customHeight="1" s="1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 ht="15.75" customHeight="1" s="1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 ht="15.75" customHeight="1" s="1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 ht="15.75" customHeight="1" s="1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 ht="15.75" customHeight="1" s="1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 ht="15.75" customHeight="1" s="1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 ht="15.75" customHeight="1" s="1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 ht="15.75" customHeight="1" s="1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 ht="15.75" customHeight="1" s="1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 ht="15.75" customHeight="1" s="1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 ht="15.75" customHeight="1" s="1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 ht="15.75" customHeight="1" s="1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 ht="15.75" customHeight="1" s="1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 ht="15.75" customHeight="1" s="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 ht="15.75" customHeight="1" s="1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 ht="15.75" customHeight="1" s="1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 ht="15.75" customHeight="1" s="1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 ht="15.75" customHeight="1" s="1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 ht="15.75" customHeight="1" s="1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 ht="15.75" customHeight="1" s="1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 ht="15.75" customHeight="1" s="1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 ht="15.75" customHeight="1" s="1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 ht="15.75" customHeight="1" s="1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 ht="15.75" customHeight="1" s="1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 ht="15.75" customHeight="1" s="1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 ht="15.75" customHeight="1" s="1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 ht="15.75" customHeight="1" s="1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 ht="15.75" customHeight="1" s="1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 ht="15.75" customHeight="1" s="1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 ht="15.75" customHeight="1" s="1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 ht="15.75" customHeight="1" s="1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 ht="15.75" customHeight="1" s="1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 ht="15.75" customHeight="1" s="1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 ht="15.75" customHeight="1" s="1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 ht="15.75" customHeight="1" s="1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 ht="15.75" customHeight="1" s="1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 ht="15.75" customHeight="1" s="1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 ht="15.75" customHeight="1" s="1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 ht="15.75" customHeight="1" s="1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 ht="15.75" customHeight="1" s="1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 ht="15.75" customHeight="1" s="1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 ht="15.75" customHeight="1" s="1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 ht="15.75" customHeight="1" s="1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 ht="15.75" customHeight="1" s="1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 ht="15.75" customHeight="1" s="1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 ht="15.75" customHeight="1" s="1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 ht="15.75" customHeight="1" s="1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 ht="15.75" customHeight="1" s="1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 ht="15.75" customHeight="1" s="1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 ht="15.75" customHeight="1" s="1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 ht="15.75" customHeight="1" s="1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 ht="15.75" customHeight="1" s="1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 ht="15.75" customHeight="1" s="1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 ht="15.75" customHeight="1" s="1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 ht="15.75" customHeight="1" s="1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 ht="15.75" customHeight="1" s="1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 ht="15.75" customHeight="1" s="1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 ht="15.75" customHeight="1" s="1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 ht="15.75" customHeight="1" s="1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 ht="15.75" customHeight="1" s="1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 ht="15.75" customHeight="1" s="1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 ht="15.75" customHeight="1" s="1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 ht="15.75" customHeight="1" s="1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 ht="15.75" customHeight="1" s="1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 ht="15.75" customHeight="1" s="1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 ht="15.75" customHeight="1" s="1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 ht="15.75" customHeight="1" s="1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 ht="15.75" customHeight="1" s="1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 ht="15.75" customHeight="1" s="1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 ht="15.75" customHeight="1" s="1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 ht="15.75" customHeight="1" s="1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 ht="15.75" customHeight="1" s="1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 ht="15.75" customHeight="1" s="1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 ht="15.75" customHeight="1" s="1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 ht="15.75" customHeight="1" s="1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 ht="15.75" customHeight="1" s="1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 ht="15.75" customHeight="1" s="1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 ht="15.75" customHeight="1" s="1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 ht="15.75" customHeight="1" s="1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 ht="15.75" customHeight="1" s="1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 ht="15.75" customHeight="1" s="1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 ht="15.75" customHeight="1" s="1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 ht="15.75" customHeight="1" s="1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 ht="15.75" customHeight="1" s="1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 ht="15.75" customHeight="1" s="1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 ht="15.75" customHeight="1" s="1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 ht="15.75" customHeight="1" s="1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 ht="15.75" customHeight="1" s="1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 ht="15.75" customHeight="1" s="1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 ht="15.75" customHeight="1" s="1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 ht="15.75" customHeight="1" s="1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 ht="15.75" customHeight="1" s="1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 ht="15.75" customHeight="1" s="1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 ht="15.75" customHeight="1" s="1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 ht="15.75" customHeight="1" s="1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 ht="15.75" customHeight="1" s="1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2025-11-06T17:57:10Z</dcterms:modified>
</cp:coreProperties>
</file>