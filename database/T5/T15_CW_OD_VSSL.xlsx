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fina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5">
    <font>
      <name val="Calibri"/>
      <color theme="1"/>
      <sz val="11"/>
      <scheme val="minor"/>
    </font>
    <font>
      <name val="Calibri"/>
      <b val="1"/>
      <color theme="1"/>
      <sz val="11"/>
    </font>
    <font/>
    <font>
      <name val="Calibri"/>
      <color theme="1"/>
      <sz val="11"/>
    </font>
    <font>
      <name val="Calibri"/>
      <color rgb="FFFF0000"/>
      <sz val="11"/>
    </font>
  </fonts>
  <fills count="2">
    <fill>
      <patternFill/>
    </fill>
    <fill>
      <patternFill patternType="lightGray"/>
    </fill>
  </fills>
  <borders count="8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</borders>
  <cellStyleXfs count="1">
    <xf numFmtId="0" fontId="0" fillId="0" borderId="0"/>
  </cellStyleXfs>
  <cellXfs count="23">
    <xf numFmtId="0" fontId="0" fillId="0" borderId="0" applyAlignment="1" pivotButton="0" quotePrefix="0" xfId="0">
      <alignment vertical="bottom"/>
    </xf>
    <xf numFmtId="0" fontId="1" fillId="0" borderId="1" applyAlignment="1" pivotButton="0" quotePrefix="0" xfId="0">
      <alignment horizontal="center"/>
    </xf>
    <xf numFmtId="0" fontId="2" fillId="0" borderId="2" pivotButton="0" quotePrefix="0" xfId="0"/>
    <xf numFmtId="0" fontId="2" fillId="0" borderId="3" pivotButton="0" quotePrefix="0" xfId="0"/>
    <xf numFmtId="0" fontId="3" fillId="0" borderId="0" pivotButton="0" quotePrefix="0" xfId="0"/>
    <xf numFmtId="0" fontId="1" fillId="0" borderId="1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0" borderId="4" applyAlignment="1" pivotButton="0" quotePrefix="0" xfId="0">
      <alignment horizontal="center" vertical="top"/>
    </xf>
    <xf numFmtId="0" fontId="1" fillId="0" borderId="0" applyAlignment="1" pivotButton="0" quotePrefix="0" xfId="0">
      <alignment horizontal="center" vertical="top"/>
    </xf>
    <xf numFmtId="0" fontId="1" fillId="0" borderId="5" applyAlignment="1" pivotButton="0" quotePrefix="0" xfId="0">
      <alignment horizontal="center" vertical="top"/>
    </xf>
    <xf numFmtId="2" fontId="3" fillId="0" borderId="4" pivotButton="0" quotePrefix="0" xfId="0"/>
    <xf numFmtId="0" fontId="3" fillId="0" borderId="4" applyAlignment="1" pivotButton="0" quotePrefix="0" xfId="0">
      <alignment horizontal="right" vertical="bottom"/>
    </xf>
    <xf numFmtId="2" fontId="3" fillId="0" borderId="0" pivotButton="0" quotePrefix="0" xfId="0"/>
    <xf numFmtId="0" fontId="3" fillId="0" borderId="4" pivotButton="0" quotePrefix="0" xfId="0"/>
    <xf numFmtId="164" fontId="3" fillId="0" borderId="4" pivotButton="0" quotePrefix="0" xfId="0"/>
    <xf numFmtId="0" fontId="3" fillId="0" borderId="4" applyAlignment="1" pivotButton="0" quotePrefix="0" xfId="0">
      <alignment horizontal="center"/>
    </xf>
    <xf numFmtId="0" fontId="1" fillId="0" borderId="4" pivotButton="0" quotePrefix="0" xfId="0"/>
    <xf numFmtId="164" fontId="4" fillId="0" borderId="4" pivotButton="0" quotePrefix="0" xfId="0"/>
    <xf numFmtId="165" fontId="3" fillId="0" borderId="4" pivotButton="0" quotePrefix="0" xfId="0"/>
    <xf numFmtId="0" fontId="0" fillId="0" borderId="0" pivotButton="0" quotePrefix="0" xfId="0"/>
    <xf numFmtId="0" fontId="1" fillId="0" borderId="4" applyAlignment="1" pivotButton="0" quotePrefix="0" xfId="0">
      <alignment horizontal="center"/>
    </xf>
    <xf numFmtId="0" fontId="0" fillId="0" borderId="2" pivotButton="0" quotePrefix="0" xfId="0"/>
    <xf numFmtId="0" fontId="0" fillId="0" borderId="3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000"/>
  <sheetViews>
    <sheetView workbookViewId="0">
      <selection activeCell="A1" sqref="A1"/>
    </sheetView>
  </sheetViews>
  <sheetFormatPr baseColWidth="8" defaultColWidth="14.43" defaultRowHeight="15" customHeight="1" outlineLevelCol="0"/>
  <cols>
    <col width="6.71" customWidth="1" style="19" min="1" max="1"/>
    <col width="5.14" customWidth="1" style="19" min="2" max="3"/>
    <col width="10" customWidth="1" style="19" min="4" max="4"/>
    <col width="8.710000000000001" customWidth="1" style="19" min="5" max="5"/>
    <col width="6.71" customWidth="1" style="19" min="6" max="6"/>
    <col width="5.14" customWidth="1" style="19" min="7" max="8"/>
    <col width="10" customWidth="1" style="19" min="9" max="10"/>
    <col width="5.29" customWidth="1" style="19" min="11" max="12"/>
    <col width="10" customWidth="1" style="19" min="13" max="13"/>
    <col width="8.710000000000001" customWidth="1" style="19" min="14" max="14"/>
    <col width="6.14" customWidth="1" style="19" min="15" max="15"/>
    <col width="9.140000000000001" customWidth="1" style="19" min="16" max="17"/>
    <col width="10" customWidth="1" style="19" min="18" max="18"/>
    <col width="24.71" customWidth="1" style="19" min="19" max="19"/>
    <col width="3" customWidth="1" style="19" min="20" max="20"/>
    <col width="5.57" customWidth="1" style="19" min="21" max="21"/>
    <col width="10" customWidth="1" style="19" min="22" max="22"/>
    <col width="8.710000000000001" customWidth="1" style="19" min="23" max="23"/>
  </cols>
  <sheetData>
    <row r="1">
      <c r="A1" s="20" t="inlineStr">
        <is>
          <t>Odometry</t>
        </is>
      </c>
      <c r="B1" s="21" t="n"/>
      <c r="C1" s="21" t="n"/>
      <c r="D1" s="22" t="n"/>
      <c r="E1" s="4" t="n"/>
      <c r="F1" s="20" t="inlineStr">
        <is>
          <t>Dynamic</t>
        </is>
      </c>
      <c r="G1" s="21" t="n"/>
      <c r="H1" s="21" t="n"/>
      <c r="I1" s="22" t="n"/>
      <c r="J1" s="6" t="n"/>
      <c r="K1" s="20" t="inlineStr">
        <is>
          <t>Difference</t>
        </is>
      </c>
      <c r="L1" s="21" t="n"/>
      <c r="M1" s="22" t="n"/>
      <c r="N1" s="4" t="n"/>
      <c r="O1" s="20" t="inlineStr">
        <is>
          <t>Real</t>
        </is>
      </c>
      <c r="P1" s="21" t="n"/>
      <c r="Q1" s="21" t="n"/>
      <c r="R1" s="22" t="n"/>
      <c r="S1" s="4" t="n"/>
      <c r="T1" s="4" t="n"/>
      <c r="U1" s="4" t="n"/>
      <c r="V1" s="20" t="inlineStr">
        <is>
          <t>tcrit - bi-caudal</t>
        </is>
      </c>
      <c r="W1" s="22" t="n"/>
      <c r="X1" s="4" t="n"/>
    </row>
    <row r="2">
      <c r="A2" s="7" t="inlineStr">
        <is>
          <t>run_id</t>
        </is>
      </c>
      <c r="B2" s="7" t="inlineStr">
        <is>
          <t>x(m)</t>
        </is>
      </c>
      <c r="C2" s="7" t="inlineStr">
        <is>
          <t>y(m)</t>
        </is>
      </c>
      <c r="D2" s="7" t="inlineStr">
        <is>
          <t>theta(rad)</t>
        </is>
      </c>
      <c r="E2" s="4" t="n"/>
      <c r="F2" s="7" t="inlineStr">
        <is>
          <t>run_id</t>
        </is>
      </c>
      <c r="G2" s="7" t="inlineStr">
        <is>
          <t>x(m)</t>
        </is>
      </c>
      <c r="H2" s="7" t="inlineStr">
        <is>
          <t>y(m)</t>
        </is>
      </c>
      <c r="I2" s="7" t="inlineStr">
        <is>
          <t>theta(rad)</t>
        </is>
      </c>
      <c r="J2" s="8" t="n"/>
      <c r="K2" s="7" t="inlineStr">
        <is>
          <t>x(m)</t>
        </is>
      </c>
      <c r="L2" s="7" t="inlineStr">
        <is>
          <t>y(m)</t>
        </is>
      </c>
      <c r="M2" s="7" t="inlineStr">
        <is>
          <t>theta(rad)</t>
        </is>
      </c>
      <c r="N2" s="4" t="n"/>
      <c r="O2" s="7" t="n"/>
      <c r="P2" s="7" t="inlineStr">
        <is>
          <t>x(m)</t>
        </is>
      </c>
      <c r="Q2" s="7" t="inlineStr">
        <is>
          <t>y(m)</t>
        </is>
      </c>
      <c r="R2" s="7" t="inlineStr">
        <is>
          <t>theta(rad)</t>
        </is>
      </c>
      <c r="S2" s="4" t="n"/>
      <c r="T2" s="4" t="n"/>
      <c r="U2" s="4" t="n"/>
      <c r="V2" s="9" t="n">
        <v>0.05</v>
      </c>
      <c r="W2" s="9" t="n">
        <v>0.01</v>
      </c>
      <c r="X2" s="4" t="n"/>
    </row>
    <row r="3">
      <c r="A3" s="10" t="n">
        <v>1</v>
      </c>
      <c r="B3" s="11" t="n">
        <v>0.769</v>
      </c>
      <c r="C3" s="11" t="n">
        <v>0.479</v>
      </c>
      <c r="D3" s="11" t="n">
        <v>-0.333</v>
      </c>
      <c r="E3" s="12" t="n"/>
      <c r="F3" s="10" t="n">
        <v>1</v>
      </c>
      <c r="G3" s="13" t="n">
        <v>0.762</v>
      </c>
      <c r="H3" s="13" t="n">
        <v>0.619</v>
      </c>
      <c r="I3" s="13" t="n">
        <v>-0.388</v>
      </c>
      <c r="J3" s="12" t="n"/>
      <c r="K3" s="10">
        <f>B3-G3</f>
        <v/>
      </c>
      <c r="L3" s="10">
        <f>C3-H3</f>
        <v/>
      </c>
      <c r="M3" s="10">
        <f>D3-I3</f>
        <v/>
      </c>
      <c r="N3" s="4" t="n"/>
      <c r="O3" s="13" t="inlineStr">
        <is>
          <t>d</t>
        </is>
      </c>
      <c r="P3" s="14">
        <f>AVERAGE(B3:B52)</f>
        <v/>
      </c>
      <c r="Q3" s="14">
        <f>AVERAGE(C3:C52)</f>
        <v/>
      </c>
      <c r="R3" s="14">
        <f>AVERAGE(D3:D52)</f>
        <v/>
      </c>
      <c r="S3" s="4" t="n"/>
      <c r="T3" s="4" t="n"/>
      <c r="U3" s="15" t="n">
        <v>49</v>
      </c>
      <c r="V3" s="15" t="n">
        <v>2.009</v>
      </c>
      <c r="W3" s="15" t="n">
        <v>2.68</v>
      </c>
      <c r="X3" s="4" t="n"/>
    </row>
    <row r="4">
      <c r="A4" s="10" t="n">
        <v>2</v>
      </c>
      <c r="B4" s="11" t="n">
        <v>0.8129999999999999</v>
      </c>
      <c r="C4" s="11" t="n">
        <v>0.5679999999999999</v>
      </c>
      <c r="D4" s="11" t="n">
        <v>-0.321</v>
      </c>
      <c r="E4" s="12" t="n"/>
      <c r="F4" s="10" t="n">
        <v>2</v>
      </c>
      <c r="G4" s="13" t="n">
        <v>0.996</v>
      </c>
      <c r="H4" s="13" t="n">
        <v>0.545</v>
      </c>
      <c r="I4" s="13" t="n">
        <v>-0.421</v>
      </c>
      <c r="J4" s="12" t="n"/>
      <c r="K4" s="10">
        <f>B4-G4</f>
        <v/>
      </c>
      <c r="L4" s="10">
        <f>C4-H4</f>
        <v/>
      </c>
      <c r="M4" s="10">
        <f>D4-I4</f>
        <v/>
      </c>
      <c r="N4" s="4" t="n"/>
      <c r="O4" s="13" t="inlineStr">
        <is>
          <t>sd</t>
        </is>
      </c>
      <c r="P4" s="14">
        <f>_xlfn.STDEV.S(B3:B52)</f>
        <v/>
      </c>
      <c r="Q4" s="14">
        <f>_xlfn.STDEV.S(C3:C52)</f>
        <v/>
      </c>
      <c r="R4" s="14">
        <f>_xlfn.STDEV.S(D3:D52)</f>
        <v/>
      </c>
      <c r="S4" s="4" t="n"/>
      <c r="T4" s="4" t="n"/>
      <c r="U4" s="15" t="n">
        <v>98</v>
      </c>
      <c r="V4" s="15" t="n">
        <v>1.984</v>
      </c>
      <c r="W4" s="15" t="n">
        <v>2.626</v>
      </c>
      <c r="X4" s="4" t="n"/>
    </row>
    <row r="5">
      <c r="A5" s="10" t="n">
        <v>3</v>
      </c>
      <c r="B5" s="11" t="n">
        <v>0.616</v>
      </c>
      <c r="C5" s="11" t="n">
        <v>0.532</v>
      </c>
      <c r="D5" s="11" t="n">
        <v>-0.282</v>
      </c>
      <c r="E5" s="12" t="n"/>
      <c r="F5" s="10" t="n">
        <v>3</v>
      </c>
      <c r="G5" s="13" t="n">
        <v>0.887</v>
      </c>
      <c r="H5" s="13" t="n">
        <v>0.671</v>
      </c>
      <c r="I5" s="13" t="n">
        <v>-0.39</v>
      </c>
      <c r="J5" s="12" t="n"/>
      <c r="K5" s="10">
        <f>B5-G5</f>
        <v/>
      </c>
      <c r="L5" s="10">
        <f>C5-H5</f>
        <v/>
      </c>
      <c r="M5" s="10">
        <f>D5-I5</f>
        <v/>
      </c>
      <c r="N5" s="4" t="n"/>
      <c r="O5" s="13" t="inlineStr">
        <is>
          <t>1sig</t>
        </is>
      </c>
      <c r="P5" s="14">
        <f>P3+P4</f>
        <v/>
      </c>
      <c r="Q5" s="14">
        <f>Q3+Q4</f>
        <v/>
      </c>
      <c r="R5" s="14">
        <f>R3+R4</f>
        <v/>
      </c>
      <c r="S5" s="4" t="n"/>
      <c r="T5" s="4" t="n"/>
      <c r="U5" s="4" t="n"/>
      <c r="V5" s="4" t="n"/>
      <c r="W5" s="4" t="n"/>
      <c r="X5" s="4" t="n"/>
    </row>
    <row r="6">
      <c r="A6" s="10" t="n">
        <v>4</v>
      </c>
      <c r="B6" s="11" t="n">
        <v>0.718</v>
      </c>
      <c r="C6" s="11" t="n">
        <v>0.393</v>
      </c>
      <c r="D6" s="11" t="n">
        <v>-0.319</v>
      </c>
      <c r="E6" s="12" t="n"/>
      <c r="F6" s="10" t="n">
        <v>4</v>
      </c>
      <c r="G6" s="13" t="n">
        <v>0.869</v>
      </c>
      <c r="H6" s="13" t="n">
        <v>0.664</v>
      </c>
      <c r="I6" s="13" t="n">
        <v>-0.421</v>
      </c>
      <c r="J6" s="12" t="n"/>
      <c r="K6" s="10">
        <f>B6-G6</f>
        <v/>
      </c>
      <c r="L6" s="10">
        <f>C6-H6</f>
        <v/>
      </c>
      <c r="M6" s="10">
        <f>D6-I6</f>
        <v/>
      </c>
      <c r="N6" s="4" t="n"/>
      <c r="O6" s="13" t="inlineStr">
        <is>
          <t>-1sig</t>
        </is>
      </c>
      <c r="P6" s="14">
        <f>P3-P4</f>
        <v/>
      </c>
      <c r="Q6" s="14">
        <f>Q3-Q4</f>
        <v/>
      </c>
      <c r="R6" s="14">
        <f>R3-R4</f>
        <v/>
      </c>
      <c r="S6" s="4" t="n"/>
      <c r="T6" s="4" t="n"/>
      <c r="U6" s="4" t="n"/>
      <c r="V6" s="4" t="n"/>
      <c r="W6" s="4" t="n"/>
      <c r="X6" s="4" t="n"/>
    </row>
    <row r="7">
      <c r="A7" s="10" t="n">
        <v>5</v>
      </c>
      <c r="B7" s="11" t="n">
        <v>0.613</v>
      </c>
      <c r="C7" s="11" t="n">
        <v>0.539</v>
      </c>
      <c r="D7" s="11" t="n">
        <v>-0.309</v>
      </c>
      <c r="E7" s="12" t="n"/>
      <c r="F7" s="10" t="n">
        <v>5</v>
      </c>
      <c r="G7" s="13" t="n">
        <v>1.045</v>
      </c>
      <c r="H7" s="13" t="n">
        <v>0.668</v>
      </c>
      <c r="I7" s="13" t="n">
        <v>-0.478</v>
      </c>
      <c r="J7" s="12" t="n"/>
      <c r="K7" s="10">
        <f>B7-G7</f>
        <v/>
      </c>
      <c r="L7" s="10">
        <f>C7-H7</f>
        <v/>
      </c>
      <c r="M7" s="10">
        <f>D7-I7</f>
        <v/>
      </c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</row>
    <row r="8">
      <c r="A8" s="10" t="n">
        <v>6</v>
      </c>
      <c r="B8" s="11" t="n">
        <v>0.613</v>
      </c>
      <c r="C8" s="11" t="n">
        <v>0.399</v>
      </c>
      <c r="D8" s="11" t="n">
        <v>-0.294</v>
      </c>
      <c r="E8" s="12" t="n"/>
      <c r="F8" s="10" t="n">
        <v>6</v>
      </c>
      <c r="G8" s="13" t="n">
        <v>1.155</v>
      </c>
      <c r="H8" s="13" t="n">
        <v>0.725</v>
      </c>
      <c r="I8" s="13" t="n">
        <v>-0.502</v>
      </c>
      <c r="J8" s="12" t="n"/>
      <c r="K8" s="10">
        <f>B8-G8</f>
        <v/>
      </c>
      <c r="L8" s="10">
        <f>C8-H8</f>
        <v/>
      </c>
      <c r="M8" s="10">
        <f>D8-I8</f>
        <v/>
      </c>
      <c r="N8" s="4" t="n"/>
      <c r="O8" s="20" t="inlineStr">
        <is>
          <t>Platform</t>
        </is>
      </c>
      <c r="P8" s="21" t="n"/>
      <c r="Q8" s="21" t="n"/>
      <c r="R8" s="22" t="n"/>
      <c r="S8" s="4" t="n"/>
      <c r="T8" s="4" t="n"/>
      <c r="U8" s="4" t="n"/>
      <c r="V8" s="4" t="n"/>
      <c r="W8" s="4" t="n"/>
      <c r="X8" s="4" t="n"/>
    </row>
    <row r="9">
      <c r="A9" s="10" t="n">
        <v>7</v>
      </c>
      <c r="B9" s="11" t="n">
        <v>0.838</v>
      </c>
      <c r="C9" s="11" t="n">
        <v>0.451</v>
      </c>
      <c r="D9" s="11" t="n">
        <v>-0.361</v>
      </c>
      <c r="E9" s="12" t="n"/>
      <c r="F9" s="10" t="n">
        <v>7</v>
      </c>
      <c r="G9" s="13" t="n">
        <v>1.034</v>
      </c>
      <c r="H9" s="13" t="n">
        <v>0.606</v>
      </c>
      <c r="I9" s="13" t="n">
        <v>-0.482</v>
      </c>
      <c r="J9" s="12" t="n"/>
      <c r="K9" s="10">
        <f>B9-G9</f>
        <v/>
      </c>
      <c r="L9" s="10">
        <f>C9-H9</f>
        <v/>
      </c>
      <c r="M9" s="10">
        <f>D9-I9</f>
        <v/>
      </c>
      <c r="N9" s="4" t="n"/>
      <c r="O9" s="7" t="n"/>
      <c r="P9" s="7" t="inlineStr">
        <is>
          <t>x(m)</t>
        </is>
      </c>
      <c r="Q9" s="7" t="inlineStr">
        <is>
          <t>y(m)</t>
        </is>
      </c>
      <c r="R9" s="7" t="inlineStr">
        <is>
          <t>theta(rad)</t>
        </is>
      </c>
      <c r="S9" s="4" t="n"/>
      <c r="T9" s="4" t="n"/>
      <c r="U9" s="4" t="n"/>
      <c r="V9" s="4" t="n"/>
      <c r="W9" s="4" t="n"/>
      <c r="X9" s="4" t="n"/>
    </row>
    <row r="10">
      <c r="A10" s="10" t="n">
        <v>8</v>
      </c>
      <c r="B10" s="11" t="n">
        <v>0.591</v>
      </c>
      <c r="C10" s="11" t="n">
        <v>0.322</v>
      </c>
      <c r="D10" s="11" t="n">
        <v>-0.281</v>
      </c>
      <c r="E10" s="12" t="n"/>
      <c r="F10" s="10" t="n">
        <v>8</v>
      </c>
      <c r="G10" s="13" t="n">
        <v>1.075</v>
      </c>
      <c r="H10" s="13" t="n">
        <v>0.518</v>
      </c>
      <c r="I10" s="13" t="n">
        <v>-0.419</v>
      </c>
      <c r="J10" s="12" t="n"/>
      <c r="K10" s="10">
        <f>B10-G10</f>
        <v/>
      </c>
      <c r="L10" s="10">
        <f>C10-H10</f>
        <v/>
      </c>
      <c r="M10" s="10">
        <f>D10-I10</f>
        <v/>
      </c>
      <c r="N10" s="4" t="n"/>
      <c r="O10" s="13" t="inlineStr">
        <is>
          <t>d</t>
        </is>
      </c>
      <c r="P10" s="14">
        <f>AVERAGE(G3:G52)</f>
        <v/>
      </c>
      <c r="Q10" s="14">
        <f>AVERAGE(H3:H52)</f>
        <v/>
      </c>
      <c r="R10" s="14">
        <f>AVERAGE(I3:I52)</f>
        <v/>
      </c>
      <c r="S10" s="4" t="n"/>
      <c r="T10" s="4" t="n"/>
      <c r="U10" s="4" t="n"/>
      <c r="V10" s="4" t="n"/>
      <c r="W10" s="4" t="n"/>
      <c r="X10" s="4" t="n"/>
    </row>
    <row r="11">
      <c r="A11" s="10" t="n">
        <v>9</v>
      </c>
      <c r="B11" s="11" t="n">
        <v>0.509</v>
      </c>
      <c r="C11" s="11" t="n">
        <v>0.375</v>
      </c>
      <c r="D11" s="11" t="n">
        <v>-0.258</v>
      </c>
      <c r="E11" s="12" t="n"/>
      <c r="F11" s="10" t="n">
        <v>9</v>
      </c>
      <c r="G11" s="13" t="n">
        <v>1.018</v>
      </c>
      <c r="H11" s="13" t="n">
        <v>0.578</v>
      </c>
      <c r="I11" s="13" t="n">
        <v>-0.373</v>
      </c>
      <c r="J11" s="12" t="n"/>
      <c r="K11" s="10">
        <f>B11-G11</f>
        <v/>
      </c>
      <c r="L11" s="10">
        <f>C11-H11</f>
        <v/>
      </c>
      <c r="M11" s="10">
        <f>D11-I11</f>
        <v/>
      </c>
      <c r="N11" s="4" t="n"/>
      <c r="O11" s="13" t="inlineStr">
        <is>
          <t>sd</t>
        </is>
      </c>
      <c r="P11" s="14">
        <f>_xlfn.STDEV.S(G3:G52)</f>
        <v/>
      </c>
      <c r="Q11" s="14">
        <f>_xlfn.STDEV.S(H3:H52)</f>
        <v/>
      </c>
      <c r="R11" s="14">
        <f>_xlfn.STDEV.S(I3:I52)</f>
        <v/>
      </c>
      <c r="S11" s="4" t="n"/>
      <c r="T11" s="16" t="inlineStr">
        <is>
          <t>n</t>
        </is>
      </c>
      <c r="U11" s="4" t="n"/>
      <c r="V11" s="4" t="n"/>
      <c r="W11" s="4" t="n"/>
      <c r="X11" s="4" t="n"/>
    </row>
    <row r="12">
      <c r="A12" s="10" t="n">
        <v>10</v>
      </c>
      <c r="B12" s="11" t="n">
        <v>0.972</v>
      </c>
      <c r="C12" s="11" t="n">
        <v>0.434</v>
      </c>
      <c r="D12" s="11" t="n">
        <v>-0.398</v>
      </c>
      <c r="E12" s="12" t="n"/>
      <c r="F12" s="10" t="n">
        <v>10</v>
      </c>
      <c r="G12" s="13" t="n">
        <v>1.116</v>
      </c>
      <c r="H12" s="13" t="n">
        <v>0.454</v>
      </c>
      <c r="I12" s="13" t="n">
        <v>-0.439</v>
      </c>
      <c r="J12" s="12" t="n"/>
      <c r="K12" s="10">
        <f>B12-G12</f>
        <v/>
      </c>
      <c r="L12" s="10">
        <f>C12-H12</f>
        <v/>
      </c>
      <c r="M12" s="10">
        <f>D12-I12</f>
        <v/>
      </c>
      <c r="N12" s="4" t="n"/>
      <c r="O12" s="13" t="inlineStr">
        <is>
          <t>1sig</t>
        </is>
      </c>
      <c r="P12" s="14">
        <f>P10+P11</f>
        <v/>
      </c>
      <c r="Q12" s="14">
        <f>Q10+Q11</f>
        <v/>
      </c>
      <c r="R12" s="14">
        <f>R10+R11</f>
        <v/>
      </c>
      <c r="S12" s="4" t="n"/>
      <c r="T12" s="13" t="n">
        <v>50</v>
      </c>
      <c r="U12" s="4" t="n"/>
      <c r="V12" s="4" t="n"/>
      <c r="W12" s="4" t="n"/>
      <c r="X12" s="4" t="n"/>
    </row>
    <row r="13">
      <c r="A13" s="10" t="n">
        <v>11</v>
      </c>
      <c r="B13" s="11" t="n">
        <v>0.572</v>
      </c>
      <c r="C13" s="11" t="n">
        <v>0.538</v>
      </c>
      <c r="D13" s="11" t="n">
        <v>-0.314</v>
      </c>
      <c r="E13" s="12" t="n"/>
      <c r="F13" s="10" t="n">
        <v>11</v>
      </c>
      <c r="G13" s="13" t="n">
        <v>1.03</v>
      </c>
      <c r="H13" s="13" t="n">
        <v>0.738</v>
      </c>
      <c r="I13" s="13" t="n">
        <v>-0.428</v>
      </c>
      <c r="J13" s="12" t="n"/>
      <c r="K13" s="10">
        <f>B13-G13</f>
        <v/>
      </c>
      <c r="L13" s="10">
        <f>C13-H13</f>
        <v/>
      </c>
      <c r="M13" s="10">
        <f>D13-I13</f>
        <v/>
      </c>
      <c r="N13" s="4" t="n"/>
      <c r="O13" s="13" t="inlineStr">
        <is>
          <t>-1sig</t>
        </is>
      </c>
      <c r="P13" s="14">
        <f>P10-P11</f>
        <v/>
      </c>
      <c r="Q13" s="14">
        <f>Q10-Q11</f>
        <v/>
      </c>
      <c r="R13" s="14">
        <f>R10-R11</f>
        <v/>
      </c>
      <c r="S13" s="4" t="n"/>
      <c r="T13" s="4" t="n"/>
      <c r="U13" s="4" t="n"/>
      <c r="V13" s="4" t="n"/>
      <c r="W13" s="4" t="n"/>
      <c r="X13" s="4" t="n"/>
    </row>
    <row r="14">
      <c r="A14" s="10" t="n">
        <v>12</v>
      </c>
      <c r="B14" s="11" t="n">
        <v>0.494</v>
      </c>
      <c r="C14" s="11" t="n">
        <v>0.407</v>
      </c>
      <c r="D14" s="11" t="n">
        <v>-0.263</v>
      </c>
      <c r="E14" s="12" t="n"/>
      <c r="F14" s="10" t="n">
        <v>12</v>
      </c>
      <c r="G14" s="13" t="n">
        <v>0.892</v>
      </c>
      <c r="H14" s="13" t="n">
        <v>0.588</v>
      </c>
      <c r="I14" s="13" t="n">
        <v>-0.355</v>
      </c>
      <c r="J14" s="12" t="n"/>
      <c r="K14" s="10">
        <f>B14-G14</f>
        <v/>
      </c>
      <c r="L14" s="10">
        <f>C14-H14</f>
        <v/>
      </c>
      <c r="M14" s="10">
        <f>D14-I14</f>
        <v/>
      </c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</row>
    <row r="15">
      <c r="A15" s="10" t="n">
        <v>13</v>
      </c>
      <c r="B15" s="11" t="n">
        <v>1.13</v>
      </c>
      <c r="C15" s="11" t="n">
        <v>0.802</v>
      </c>
      <c r="D15" s="11" t="n">
        <v>-0.503</v>
      </c>
      <c r="E15" s="12" t="n"/>
      <c r="F15" s="10" t="n">
        <v>13</v>
      </c>
      <c r="G15" s="13" t="n">
        <v>0.786</v>
      </c>
      <c r="H15" s="13" t="n">
        <v>0.587</v>
      </c>
      <c r="I15" s="13" t="n">
        <v>-0.402</v>
      </c>
      <c r="J15" s="12" t="n"/>
      <c r="K15" s="10">
        <f>B15-G15</f>
        <v/>
      </c>
      <c r="L15" s="10">
        <f>C15-H15</f>
        <v/>
      </c>
      <c r="M15" s="10">
        <f>D15-I15</f>
        <v/>
      </c>
      <c r="N15" s="4" t="n"/>
      <c r="O15" s="20" t="inlineStr">
        <is>
          <t>Diferença - Pareado</t>
        </is>
      </c>
      <c r="P15" s="21" t="n"/>
      <c r="Q15" s="21" t="n"/>
      <c r="R15" s="22" t="n"/>
      <c r="S15" s="4" t="n"/>
      <c r="T15" s="4" t="n"/>
      <c r="U15" s="4" t="n"/>
      <c r="V15" s="4" t="n"/>
      <c r="W15" s="4" t="n"/>
      <c r="X15" s="4" t="n"/>
    </row>
    <row r="16">
      <c r="A16" s="10" t="n">
        <v>14</v>
      </c>
      <c r="B16" s="11" t="n">
        <v>0.723</v>
      </c>
      <c r="C16" s="11" t="n">
        <v>0.611</v>
      </c>
      <c r="D16" s="11" t="n">
        <v>-0.405</v>
      </c>
      <c r="E16" s="12" t="n"/>
      <c r="F16" s="10" t="n">
        <v>14</v>
      </c>
      <c r="G16" s="13" t="n">
        <v>0.762</v>
      </c>
      <c r="H16" s="13" t="n">
        <v>0.569</v>
      </c>
      <c r="I16" s="13" t="n">
        <v>-0.413</v>
      </c>
      <c r="J16" s="12" t="n"/>
      <c r="K16" s="10">
        <f>B16-G16</f>
        <v/>
      </c>
      <c r="L16" s="10">
        <f>C16-H16</f>
        <v/>
      </c>
      <c r="M16" s="10">
        <f>D16-I16</f>
        <v/>
      </c>
      <c r="N16" s="4" t="n"/>
      <c r="O16" s="7" t="n"/>
      <c r="P16" s="7" t="inlineStr">
        <is>
          <t>x(m)</t>
        </is>
      </c>
      <c r="Q16" s="7" t="inlineStr">
        <is>
          <t>y(m)</t>
        </is>
      </c>
      <c r="R16" s="7" t="inlineStr">
        <is>
          <t>theta(rad)</t>
        </is>
      </c>
      <c r="S16" s="4" t="n"/>
      <c r="T16" s="4" t="n"/>
      <c r="U16" s="4" t="n"/>
      <c r="V16" s="4" t="n"/>
      <c r="W16" s="4" t="n"/>
      <c r="X16" s="4" t="n"/>
    </row>
    <row r="17">
      <c r="A17" s="10" t="n">
        <v>15</v>
      </c>
      <c r="B17" s="11" t="n">
        <v>0.5610000000000001</v>
      </c>
      <c r="C17" s="11" t="n">
        <v>0.529</v>
      </c>
      <c r="D17" s="11" t="n">
        <v>-0.303</v>
      </c>
      <c r="E17" s="12" t="n"/>
      <c r="F17" s="10" t="n">
        <v>15</v>
      </c>
      <c r="G17" s="13" t="n">
        <v>1.092</v>
      </c>
      <c r="H17" s="13" t="n">
        <v>0.64</v>
      </c>
      <c r="I17" s="13" t="n">
        <v>-0.501</v>
      </c>
      <c r="J17" s="12" t="n"/>
      <c r="K17" s="10">
        <f>B17-G17</f>
        <v/>
      </c>
      <c r="L17" s="10">
        <f>C17-H17</f>
        <v/>
      </c>
      <c r="M17" s="10">
        <f>D17-I17</f>
        <v/>
      </c>
      <c r="N17" s="4" t="n"/>
      <c r="O17" s="13" t="inlineStr">
        <is>
          <t>d</t>
        </is>
      </c>
      <c r="P17" s="14">
        <f>AVERAGE(K3:K52)</f>
        <v/>
      </c>
      <c r="Q17" s="14">
        <f>AVERAGE(L3:L52)</f>
        <v/>
      </c>
      <c r="R17" s="14">
        <f>AVERAGE(M3:M52)</f>
        <v/>
      </c>
      <c r="S17" s="4" t="n"/>
      <c r="T17" s="16" t="inlineStr">
        <is>
          <t>n1</t>
        </is>
      </c>
      <c r="U17" s="16" t="inlineStr">
        <is>
          <t>n2</t>
        </is>
      </c>
      <c r="V17" s="4" t="n"/>
      <c r="W17" s="4" t="n"/>
      <c r="X17" s="4" t="n"/>
    </row>
    <row r="18">
      <c r="A18" s="10" t="n">
        <v>16</v>
      </c>
      <c r="B18" s="11" t="n">
        <v>0.869</v>
      </c>
      <c r="C18" s="11" t="n">
        <v>0.652</v>
      </c>
      <c r="D18" s="11" t="n">
        <v>-0.368</v>
      </c>
      <c r="E18" s="12" t="n"/>
      <c r="F18" s="10" t="n">
        <v>16</v>
      </c>
      <c r="G18" s="13" t="n">
        <v>1.356</v>
      </c>
      <c r="H18" s="13" t="n">
        <v>0.59</v>
      </c>
      <c r="I18" s="13" t="n">
        <v>-0.513</v>
      </c>
      <c r="J18" s="12" t="n"/>
      <c r="K18" s="10">
        <f>B18-G18</f>
        <v/>
      </c>
      <c r="L18" s="10">
        <f>C18-H18</f>
        <v/>
      </c>
      <c r="M18" s="10">
        <f>D18-I18</f>
        <v/>
      </c>
      <c r="N18" s="4" t="n"/>
      <c r="O18" s="13" t="inlineStr">
        <is>
          <t>sd</t>
        </is>
      </c>
      <c r="P18" s="14">
        <f>_xlfn.STDEV.S(K3:K52)</f>
        <v/>
      </c>
      <c r="Q18" s="14">
        <f>_xlfn.STDEV.S(L3:L52)</f>
        <v/>
      </c>
      <c r="R18" s="14">
        <f>_xlfn.STDEV.S(M3:M52)</f>
        <v/>
      </c>
      <c r="S18" s="4" t="n"/>
      <c r="T18" s="13" t="n">
        <v>50</v>
      </c>
      <c r="U18" s="13" t="n">
        <v>50</v>
      </c>
      <c r="V18" s="4" t="n"/>
      <c r="W18" s="4" t="n"/>
      <c r="X18" s="4" t="n"/>
    </row>
    <row r="19">
      <c r="A19" s="10" t="n">
        <v>17</v>
      </c>
      <c r="B19" s="11" t="n">
        <v>0.8179999999999999</v>
      </c>
      <c r="C19" s="11" t="n">
        <v>0.572</v>
      </c>
      <c r="D19" s="11" t="n">
        <v>-0.407</v>
      </c>
      <c r="E19" s="12" t="n"/>
      <c r="F19" s="10" t="n">
        <v>17</v>
      </c>
      <c r="G19" s="13" t="n">
        <v>1.083</v>
      </c>
      <c r="H19" s="13" t="n">
        <v>0.63</v>
      </c>
      <c r="I19" s="13" t="n">
        <v>-0.46</v>
      </c>
      <c r="J19" s="12" t="n"/>
      <c r="K19" s="10">
        <f>B19-G19</f>
        <v/>
      </c>
      <c r="L19" s="10">
        <f>C19-H19</f>
        <v/>
      </c>
      <c r="M19" s="10">
        <f>D19-I19</f>
        <v/>
      </c>
      <c r="N19" s="4" t="n"/>
      <c r="O19" s="13" t="inlineStr">
        <is>
          <t>t</t>
        </is>
      </c>
      <c r="P19" s="17">
        <f>ABS(P17/(P18/SQRT($T$12)))</f>
        <v/>
      </c>
      <c r="Q19" s="17">
        <f>ABS(Q17/(Q18/SQRT($T$12)))</f>
        <v/>
      </c>
      <c r="R19" s="17">
        <f>ABS(R17/(R18/SQRT($T$12)))</f>
        <v/>
      </c>
      <c r="S19" s="4" t="n"/>
      <c r="T19" s="4" t="n"/>
      <c r="U19" s="4" t="n"/>
      <c r="V19" s="4" t="n"/>
      <c r="W19" s="4" t="n"/>
      <c r="X19" s="4" t="n"/>
    </row>
    <row r="20">
      <c r="A20" s="10" t="n">
        <v>18</v>
      </c>
      <c r="B20" s="11" t="n">
        <v>0.768</v>
      </c>
      <c r="C20" s="11" t="n">
        <v>0.41</v>
      </c>
      <c r="D20" s="11" t="n">
        <v>-0.331</v>
      </c>
      <c r="E20" s="12" t="n"/>
      <c r="F20" s="10" t="n">
        <v>18</v>
      </c>
      <c r="G20" s="13" t="n">
        <v>1.413</v>
      </c>
      <c r="H20" s="13" t="n">
        <v>0.58</v>
      </c>
      <c r="I20" s="13" t="n">
        <v>-0.527</v>
      </c>
      <c r="J20" s="12" t="n"/>
      <c r="K20" s="10">
        <f>B20-G20</f>
        <v/>
      </c>
      <c r="L20" s="10">
        <f>C20-H20</f>
        <v/>
      </c>
      <c r="M20" s="10">
        <f>D20-I20</f>
        <v/>
      </c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</row>
    <row r="21" ht="15.75" customHeight="1" s="19">
      <c r="A21" s="10" t="n">
        <v>19</v>
      </c>
      <c r="B21" s="11" t="n">
        <v>0.541</v>
      </c>
      <c r="C21" s="11" t="n">
        <v>0.483</v>
      </c>
      <c r="D21" s="11" t="n">
        <v>-0.276</v>
      </c>
      <c r="E21" s="12" t="n"/>
      <c r="F21" s="10" t="n">
        <v>19</v>
      </c>
      <c r="G21" s="13" t="n">
        <v>0.79</v>
      </c>
      <c r="H21" s="13" t="n">
        <v>0.628</v>
      </c>
      <c r="I21" s="13" t="n">
        <v>-0.362</v>
      </c>
      <c r="J21" s="12" t="n"/>
      <c r="K21" s="10">
        <f>B21-G21</f>
        <v/>
      </c>
      <c r="L21" s="10">
        <f>C21-H21</f>
        <v/>
      </c>
      <c r="M21" s="10">
        <f>D21-I21</f>
        <v/>
      </c>
      <c r="N21" s="4" t="n"/>
      <c r="O21" s="20" t="inlineStr">
        <is>
          <t>Diferença - Não Pareado</t>
        </is>
      </c>
      <c r="P21" s="21" t="n"/>
      <c r="Q21" s="21" t="n"/>
      <c r="R21" s="22" t="n"/>
      <c r="S21" s="4" t="n"/>
      <c r="T21" s="4" t="n"/>
      <c r="U21" s="4" t="n"/>
      <c r="V21" s="4" t="n"/>
      <c r="W21" s="4" t="n"/>
      <c r="X21" s="4" t="n"/>
    </row>
    <row r="22" ht="15.75" customHeight="1" s="19">
      <c r="A22" s="10" t="n">
        <v>20</v>
      </c>
      <c r="B22" s="11" t="n">
        <v>1.036</v>
      </c>
      <c r="C22" s="11" t="n">
        <v>0.629</v>
      </c>
      <c r="D22" s="11" t="n">
        <v>-0.408</v>
      </c>
      <c r="E22" s="12" t="n"/>
      <c r="F22" s="10" t="n">
        <v>20</v>
      </c>
      <c r="G22" s="13" t="n">
        <v>0.981</v>
      </c>
      <c r="H22" s="13" t="n">
        <v>0.614</v>
      </c>
      <c r="I22" s="13" t="n">
        <v>-0.479</v>
      </c>
      <c r="J22" s="12" t="n"/>
      <c r="K22" s="10">
        <f>B22-G22</f>
        <v/>
      </c>
      <c r="L22" s="10">
        <f>C22-H22</f>
        <v/>
      </c>
      <c r="M22" s="10">
        <f>D22-I22</f>
        <v/>
      </c>
      <c r="N22" s="4" t="n"/>
      <c r="O22" s="7" t="n"/>
      <c r="P22" s="7" t="inlineStr">
        <is>
          <t>x(m)</t>
        </is>
      </c>
      <c r="Q22" s="7" t="inlineStr">
        <is>
          <t>y(m)</t>
        </is>
      </c>
      <c r="R22" s="7" t="inlineStr">
        <is>
          <t>theta(rad)</t>
        </is>
      </c>
      <c r="S22" s="4" t="n"/>
      <c r="T22" s="4" t="n"/>
      <c r="U22" s="4" t="n"/>
      <c r="V22" s="4" t="n"/>
      <c r="W22" s="4" t="n"/>
      <c r="X22" s="4" t="n"/>
    </row>
    <row r="23" ht="15.75" customHeight="1" s="19">
      <c r="A23" s="10" t="n">
        <v>21</v>
      </c>
      <c r="B23" s="11" t="n">
        <v>0.709</v>
      </c>
      <c r="C23" s="11" t="n">
        <v>0.623</v>
      </c>
      <c r="D23" s="11" t="n">
        <v>-0.332</v>
      </c>
      <c r="E23" s="12" t="n"/>
      <c r="F23" s="10" t="n">
        <v>21</v>
      </c>
      <c r="G23" s="13" t="n">
        <v>0.588</v>
      </c>
      <c r="H23" s="13" t="n">
        <v>0.5590000000000001</v>
      </c>
      <c r="I23" s="13" t="n">
        <v>-0.232</v>
      </c>
      <c r="J23" s="12" t="n"/>
      <c r="K23" s="10">
        <f>B23-G23</f>
        <v/>
      </c>
      <c r="L23" s="10">
        <f>C23-H23</f>
        <v/>
      </c>
      <c r="M23" s="10">
        <f>D23-I23</f>
        <v/>
      </c>
      <c r="N23" s="4" t="n"/>
      <c r="O23" s="16" t="inlineStr">
        <is>
          <t>sp2</t>
        </is>
      </c>
      <c r="P23" s="14">
        <f>(($T$18-1)*(P4^2) + ($U$18-1)*(P11^2))/($T$18+$U$18-2)</f>
        <v/>
      </c>
      <c r="Q23" s="14">
        <f>(($T$18-1)*(Q4^2) + ($U$18-1)*(Q11^2))/($T$18+$U$18-2)</f>
        <v/>
      </c>
      <c r="R23" s="14">
        <f>(($T$18-1)*(R4^2) + ($U$18-1)*(R11^2))/($T$18+$U$18-2)</f>
        <v/>
      </c>
      <c r="S23" s="4" t="n"/>
      <c r="T23" s="4" t="n"/>
      <c r="U23" s="4" t="n"/>
      <c r="V23" s="4" t="n"/>
      <c r="W23" s="4" t="n"/>
      <c r="X23" s="4" t="n"/>
    </row>
    <row r="24" ht="15.75" customHeight="1" s="19">
      <c r="A24" s="10" t="n">
        <v>22</v>
      </c>
      <c r="B24" s="11" t="n">
        <v>0.805</v>
      </c>
      <c r="C24" s="11" t="n">
        <v>0.45</v>
      </c>
      <c r="D24" s="11" t="n">
        <v>-0.367</v>
      </c>
      <c r="E24" s="12" t="n"/>
      <c r="F24" s="10" t="n">
        <v>22</v>
      </c>
      <c r="G24" s="13" t="n">
        <v>0.9350000000000001</v>
      </c>
      <c r="H24" s="13" t="n">
        <v>0.665</v>
      </c>
      <c r="I24" s="13" t="n">
        <v>-0.405</v>
      </c>
      <c r="J24" s="12" t="n"/>
      <c r="K24" s="10">
        <f>B24-G24</f>
        <v/>
      </c>
      <c r="L24" s="10">
        <f>C24-H24</f>
        <v/>
      </c>
      <c r="M24" s="10">
        <f>D24-I24</f>
        <v/>
      </c>
      <c r="N24" s="4" t="n"/>
      <c r="O24" s="16" t="inlineStr">
        <is>
          <t>s1-2</t>
        </is>
      </c>
      <c r="P24" s="14">
        <f>P4^2</f>
        <v/>
      </c>
      <c r="Q24" s="14">
        <f>Q4^2</f>
        <v/>
      </c>
      <c r="R24" s="14">
        <f>R4^2</f>
        <v/>
      </c>
      <c r="S24" s="4" t="inlineStr">
        <is>
          <t>Variâncias amostrais</t>
        </is>
      </c>
      <c r="T24" s="4" t="n"/>
      <c r="U24" s="4" t="n"/>
      <c r="V24" s="4" t="n"/>
      <c r="W24" s="4" t="n"/>
      <c r="X24" s="4" t="n"/>
    </row>
    <row r="25" ht="15.75" customHeight="1" s="19">
      <c r="A25" s="10" t="n">
        <v>23</v>
      </c>
      <c r="B25" s="11" t="n">
        <v>0.831</v>
      </c>
      <c r="C25" s="11" t="n">
        <v>0.609</v>
      </c>
      <c r="D25" s="11" t="n">
        <v>-0.36</v>
      </c>
      <c r="E25" s="12" t="n"/>
      <c r="F25" s="10" t="n">
        <v>23</v>
      </c>
      <c r="G25" s="13" t="n">
        <v>1.191</v>
      </c>
      <c r="H25" s="13" t="n">
        <v>0.573</v>
      </c>
      <c r="I25" s="13" t="n">
        <v>-0.489</v>
      </c>
      <c r="J25" s="12" t="n"/>
      <c r="K25" s="10">
        <f>B25-G25</f>
        <v/>
      </c>
      <c r="L25" s="10">
        <f>C25-H25</f>
        <v/>
      </c>
      <c r="M25" s="10">
        <f>D25-I25</f>
        <v/>
      </c>
      <c r="N25" s="4" t="n"/>
      <c r="O25" s="16" t="inlineStr">
        <is>
          <t>s2-2</t>
        </is>
      </c>
      <c r="P25" s="14">
        <f>P11^2</f>
        <v/>
      </c>
      <c r="Q25" s="14">
        <f>Q11^2</f>
        <v/>
      </c>
      <c r="R25" s="14">
        <f>R11^2</f>
        <v/>
      </c>
      <c r="S25" s="4" t="inlineStr">
        <is>
          <t>Variâncias amostrais</t>
        </is>
      </c>
      <c r="T25" s="4" t="n"/>
      <c r="U25" s="4" t="n"/>
      <c r="V25" s="4" t="n"/>
      <c r="W25" s="4" t="n"/>
      <c r="X25" s="4" t="n"/>
    </row>
    <row r="26" ht="15.75" customHeight="1" s="19">
      <c r="A26" s="10" t="n">
        <v>24</v>
      </c>
      <c r="B26" s="11" t="n">
        <v>0.804</v>
      </c>
      <c r="C26" s="11" t="n">
        <v>0.506</v>
      </c>
      <c r="D26" s="11" t="n">
        <v>-0.348</v>
      </c>
      <c r="E26" s="12" t="n"/>
      <c r="F26" s="10" t="n">
        <v>24</v>
      </c>
      <c r="G26" s="13" t="n">
        <v>0.988</v>
      </c>
      <c r="H26" s="13" t="n">
        <v>0.61</v>
      </c>
      <c r="I26" s="13" t="n">
        <v>-0.439</v>
      </c>
      <c r="J26" s="12" t="n"/>
      <c r="K26" s="10">
        <f>B26-G26</f>
        <v/>
      </c>
      <c r="L26" s="10">
        <f>C26-H26</f>
        <v/>
      </c>
      <c r="M26" s="10">
        <f>D26-I26</f>
        <v/>
      </c>
      <c r="N26" s="4" t="n"/>
      <c r="O26" s="16" t="inlineStr">
        <is>
          <t>sp-2</t>
        </is>
      </c>
      <c r="P26" s="14">
        <f>SQRT( ((($T$18-1)*P24) + (($U$18-1)*P25))/($T$18+$U$18-2))</f>
        <v/>
      </c>
      <c r="Q26" s="14">
        <f>SQRT( ((($T$18-1)*Q24) + (($U$18-1)*Q25))/($T$18+$U$18-2))</f>
        <v/>
      </c>
      <c r="R26" s="14">
        <f>SQRT( ((($T$18-1)*R24) + (($U$18-1)*R25))/($T$18+$U$18-2))</f>
        <v/>
      </c>
      <c r="S26" s="4" t="inlineStr">
        <is>
          <t>Variância combinada</t>
        </is>
      </c>
      <c r="T26" s="4" t="n"/>
      <c r="U26" s="4" t="n"/>
      <c r="V26" s="4" t="n"/>
      <c r="W26" s="4" t="n"/>
      <c r="X26" s="4" t="n"/>
    </row>
    <row r="27" ht="15.75" customHeight="1" s="19">
      <c r="A27" s="10" t="n">
        <v>25</v>
      </c>
      <c r="B27" s="11" t="n">
        <v>0.62</v>
      </c>
      <c r="C27" s="11" t="n">
        <v>0.541</v>
      </c>
      <c r="D27" s="11" t="n">
        <v>-0.318</v>
      </c>
      <c r="E27" s="12" t="n"/>
      <c r="F27" s="10" t="n">
        <v>25</v>
      </c>
      <c r="G27" s="13" t="n">
        <v>1.081</v>
      </c>
      <c r="H27" s="13" t="n">
        <v>0.665</v>
      </c>
      <c r="I27" s="13" t="n">
        <v>-0.423</v>
      </c>
      <c r="J27" s="12" t="n"/>
      <c r="K27" s="10">
        <f>B27-G27</f>
        <v/>
      </c>
      <c r="L27" s="10">
        <f>C27-H27</f>
        <v/>
      </c>
      <c r="M27" s="10">
        <f>D27-I27</f>
        <v/>
      </c>
      <c r="N27" s="4" t="n"/>
      <c r="O27" s="16" t="inlineStr">
        <is>
          <t>se</t>
        </is>
      </c>
      <c r="P27" s="14">
        <f>P26*SQRT(1/50 + 1/50)</f>
        <v/>
      </c>
      <c r="Q27" s="14">
        <f>Q26*SQRT(1/50 + 1/50)</f>
        <v/>
      </c>
      <c r="R27" s="14">
        <f>R26*SQRT(1/50 + 1/50)</f>
        <v/>
      </c>
      <c r="S27" s="4" t="inlineStr">
        <is>
          <t>Erro padrão das diferenças</t>
        </is>
      </c>
      <c r="T27" s="4" t="n"/>
      <c r="U27" s="4" t="n"/>
      <c r="V27" s="4" t="n"/>
      <c r="W27" s="4" t="n"/>
      <c r="X27" s="4" t="n"/>
    </row>
    <row r="28" ht="15.75" customHeight="1" s="19">
      <c r="A28" s="10" t="n">
        <v>26</v>
      </c>
      <c r="B28" s="11" t="n">
        <v>1.071</v>
      </c>
      <c r="C28" s="11" t="n">
        <v>0.5570000000000001</v>
      </c>
      <c r="D28" s="11" t="n">
        <v>-0.456</v>
      </c>
      <c r="E28" s="12" t="n"/>
      <c r="F28" s="10" t="n">
        <v>26</v>
      </c>
      <c r="G28" s="13" t="n">
        <v>1.037</v>
      </c>
      <c r="H28" s="13" t="n">
        <v>0.584</v>
      </c>
      <c r="I28" s="13" t="n">
        <v>-0.431</v>
      </c>
      <c r="J28" s="12" t="n"/>
      <c r="K28" s="10">
        <f>B28-G28</f>
        <v/>
      </c>
      <c r="L28" s="10">
        <f>C28-H28</f>
        <v/>
      </c>
      <c r="M28" s="10">
        <f>D28-I28</f>
        <v/>
      </c>
      <c r="N28" s="4" t="n"/>
      <c r="O28" s="16" t="inlineStr">
        <is>
          <t>t</t>
        </is>
      </c>
      <c r="P28" s="17">
        <f>ABS((P3-P10)/P27)</f>
        <v/>
      </c>
      <c r="Q28" s="17">
        <f>ABS((Q3-Q10)/Q27)</f>
        <v/>
      </c>
      <c r="R28" s="17">
        <f>ABS((R3-R10)/R27)</f>
        <v/>
      </c>
      <c r="S28" s="4" t="inlineStr">
        <is>
          <t>Teste t</t>
        </is>
      </c>
      <c r="T28" s="4" t="n"/>
      <c r="U28" s="4" t="n"/>
      <c r="V28" s="4" t="n"/>
      <c r="W28" s="4" t="n"/>
      <c r="X28" s="4" t="n"/>
    </row>
    <row r="29" ht="15.75" customHeight="1" s="19">
      <c r="A29" s="10" t="n">
        <v>27</v>
      </c>
      <c r="B29" s="11" t="n">
        <v>0.699</v>
      </c>
      <c r="C29" s="11" t="n">
        <v>0.659</v>
      </c>
      <c r="D29" s="11" t="n">
        <v>-0.354</v>
      </c>
      <c r="E29" s="12" t="n"/>
      <c r="F29" s="10" t="n">
        <v>27</v>
      </c>
      <c r="G29" s="13" t="n">
        <v>0.903</v>
      </c>
      <c r="H29" s="13" t="n">
        <v>0.62</v>
      </c>
      <c r="I29" s="13" t="n">
        <v>-0.385</v>
      </c>
      <c r="J29" s="12" t="n"/>
      <c r="K29" s="10">
        <f>B29-G29</f>
        <v/>
      </c>
      <c r="L29" s="10">
        <f>C29-H29</f>
        <v/>
      </c>
      <c r="M29" s="10">
        <f>D29-I29</f>
        <v/>
      </c>
      <c r="N29" s="4" t="n"/>
      <c r="O29" s="16" t="inlineStr">
        <is>
          <t>gl</t>
        </is>
      </c>
      <c r="P29" s="13">
        <f>$T$18+$U$18-2</f>
        <v/>
      </c>
      <c r="Q29" s="13">
        <f>$T$18+$U$18-2</f>
        <v/>
      </c>
      <c r="R29" s="13">
        <f>$T$18+$U$18-2</f>
        <v/>
      </c>
      <c r="S29" s="4" t="inlineStr">
        <is>
          <t>Graus de liberdade</t>
        </is>
      </c>
      <c r="T29" s="4" t="n"/>
      <c r="U29" s="4" t="n"/>
      <c r="V29" s="4" t="n"/>
      <c r="W29" s="4" t="n"/>
      <c r="X29" s="4" t="n"/>
    </row>
    <row r="30" ht="15.75" customHeight="1" s="19">
      <c r="A30" s="10" t="n">
        <v>28</v>
      </c>
      <c r="B30" s="11" t="n">
        <v>0.529</v>
      </c>
      <c r="C30" s="11" t="n">
        <v>0.406</v>
      </c>
      <c r="D30" s="11" t="n">
        <v>-0.263</v>
      </c>
      <c r="E30" s="12" t="n"/>
      <c r="F30" s="10" t="n">
        <v>28</v>
      </c>
      <c r="G30" s="13" t="n">
        <v>1.257</v>
      </c>
      <c r="H30" s="13" t="n">
        <v>0.849</v>
      </c>
      <c r="I30" s="13" t="n">
        <v>-0.545</v>
      </c>
      <c r="J30" s="12" t="n"/>
      <c r="K30" s="10">
        <f>B30-G30</f>
        <v/>
      </c>
      <c r="L30" s="10">
        <f>C30-H30</f>
        <v/>
      </c>
      <c r="M30" s="10">
        <f>D30-I30</f>
        <v/>
      </c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</row>
    <row r="31" ht="15.75" customHeight="1" s="19">
      <c r="A31" s="10" t="n">
        <v>29</v>
      </c>
      <c r="B31" s="11" t="n">
        <v>0.718</v>
      </c>
      <c r="C31" s="11" t="n">
        <v>0.571</v>
      </c>
      <c r="D31" s="11" t="n">
        <v>-0.291</v>
      </c>
      <c r="E31" s="12" t="n"/>
      <c r="F31" s="10" t="n">
        <v>29</v>
      </c>
      <c r="G31" s="13" t="n">
        <v>0.916</v>
      </c>
      <c r="H31" s="13" t="n">
        <v>0.655</v>
      </c>
      <c r="I31" s="13" t="n">
        <v>-0.485</v>
      </c>
      <c r="J31" s="12" t="n"/>
      <c r="K31" s="10">
        <f>B31-G31</f>
        <v/>
      </c>
      <c r="L31" s="10">
        <f>C31-H31</f>
        <v/>
      </c>
      <c r="M31" s="10">
        <f>D31-I31</f>
        <v/>
      </c>
      <c r="N31" s="4" t="n"/>
      <c r="O31" s="16" t="inlineStr">
        <is>
          <t>p</t>
        </is>
      </c>
      <c r="P31" s="18">
        <f>2*(1-(_xlfn.T.DIST(ABS(P28), P29, TRUE)))</f>
        <v/>
      </c>
      <c r="Q31" s="18">
        <f>2*(1-_xlfn.T.DIST(Q28, Q29, TRUE))</f>
        <v/>
      </c>
      <c r="R31" s="18">
        <f>2*(1-_xlfn.T.DIST(R28, R29, TRUE))</f>
        <v/>
      </c>
      <c r="S31" s="4" t="inlineStr">
        <is>
          <t>p valor</t>
        </is>
      </c>
      <c r="T31" s="4" t="n"/>
      <c r="U31" s="4" t="n"/>
      <c r="V31" s="4" t="n"/>
      <c r="W31" s="4" t="n"/>
      <c r="X31" s="4" t="n"/>
    </row>
    <row r="32" ht="15.75" customHeight="1" s="19">
      <c r="A32" s="10" t="n">
        <v>30</v>
      </c>
      <c r="B32" s="11" t="n">
        <v>0.625</v>
      </c>
      <c r="C32" s="11" t="n">
        <v>0.536</v>
      </c>
      <c r="D32" s="11" t="n">
        <v>-0.259</v>
      </c>
      <c r="E32" s="12" t="n"/>
      <c r="F32" s="10" t="n">
        <v>30</v>
      </c>
      <c r="G32" s="13" t="n">
        <v>0.885</v>
      </c>
      <c r="H32" s="13" t="n">
        <v>0.586</v>
      </c>
      <c r="I32" s="13" t="n">
        <v>-0.385</v>
      </c>
      <c r="J32" s="12" t="n"/>
      <c r="K32" s="10">
        <f>B32-G32</f>
        <v/>
      </c>
      <c r="L32" s="10">
        <f>C32-H32</f>
        <v/>
      </c>
      <c r="M32" s="10">
        <f>D32-I32</f>
        <v/>
      </c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</row>
    <row r="33" ht="15.75" customHeight="1" s="19">
      <c r="A33" s="10" t="n">
        <v>31</v>
      </c>
      <c r="B33" s="11" t="n">
        <v>1.049</v>
      </c>
      <c r="C33" s="11" t="n">
        <v>0.49</v>
      </c>
      <c r="D33" s="11" t="n">
        <v>-0.401</v>
      </c>
      <c r="E33" s="12" t="n"/>
      <c r="F33" s="10" t="n">
        <v>31</v>
      </c>
      <c r="G33" s="13" t="n">
        <v>1.007</v>
      </c>
      <c r="H33" s="13" t="n">
        <v>0.772</v>
      </c>
      <c r="I33" s="13" t="n">
        <v>-0.434</v>
      </c>
      <c r="J33" s="12" t="n"/>
      <c r="K33" s="10">
        <f>B33-G33</f>
        <v/>
      </c>
      <c r="L33" s="10">
        <f>C33-H33</f>
        <v/>
      </c>
      <c r="M33" s="10">
        <f>D33-I33</f>
        <v/>
      </c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</row>
    <row r="34" ht="15.75" customHeight="1" s="19">
      <c r="A34" s="10" t="n">
        <v>32</v>
      </c>
      <c r="B34" s="11" t="n">
        <v>0.834</v>
      </c>
      <c r="C34" s="11" t="n">
        <v>0.53</v>
      </c>
      <c r="D34" s="11" t="n">
        <v>-0.39</v>
      </c>
      <c r="E34" s="12" t="n"/>
      <c r="F34" s="10" t="n">
        <v>32</v>
      </c>
      <c r="G34" s="13" t="n">
        <v>0.877</v>
      </c>
      <c r="H34" s="13" t="n">
        <v>0.555</v>
      </c>
      <c r="I34" s="13" t="n">
        <v>-0.462</v>
      </c>
      <c r="J34" s="12" t="n"/>
      <c r="K34" s="10">
        <f>B34-G34</f>
        <v/>
      </c>
      <c r="L34" s="10">
        <f>C34-H34</f>
        <v/>
      </c>
      <c r="M34" s="10">
        <f>D34-I34</f>
        <v/>
      </c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</row>
    <row r="35" ht="15.75" customHeight="1" s="19">
      <c r="A35" s="10" t="n">
        <v>33</v>
      </c>
      <c r="B35" s="11" t="n">
        <v>0.844</v>
      </c>
      <c r="C35" s="11" t="n">
        <v>0.518</v>
      </c>
      <c r="D35" s="11" t="n">
        <v>-0.371</v>
      </c>
      <c r="E35" s="12" t="n"/>
      <c r="F35" s="10" t="n">
        <v>33</v>
      </c>
      <c r="G35" s="13" t="n">
        <v>0.834</v>
      </c>
      <c r="H35" s="13" t="n">
        <v>0.582</v>
      </c>
      <c r="I35" s="13" t="n">
        <v>-0.359</v>
      </c>
      <c r="J35" s="12" t="n"/>
      <c r="K35" s="10">
        <f>B35-G35</f>
        <v/>
      </c>
      <c r="L35" s="10">
        <f>C35-H35</f>
        <v/>
      </c>
      <c r="M35" s="10">
        <f>D35-I35</f>
        <v/>
      </c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</row>
    <row r="36" ht="15.75" customHeight="1" s="19">
      <c r="A36" s="10" t="n">
        <v>34</v>
      </c>
      <c r="B36" s="11" t="n">
        <v>0.554</v>
      </c>
      <c r="C36" s="11" t="n">
        <v>0.342</v>
      </c>
      <c r="D36" s="11" t="n">
        <v>-0.25</v>
      </c>
      <c r="E36" s="12" t="n"/>
      <c r="F36" s="10" t="n">
        <v>34</v>
      </c>
      <c r="G36" s="13" t="n">
        <v>1.238</v>
      </c>
      <c r="H36" s="13" t="n">
        <v>0.62</v>
      </c>
      <c r="I36" s="13" t="n">
        <v>-0.468</v>
      </c>
      <c r="J36" s="12" t="n"/>
      <c r="K36" s="10">
        <f>B36-G36</f>
        <v/>
      </c>
      <c r="L36" s="10">
        <f>C36-H36</f>
        <v/>
      </c>
      <c r="M36" s="10">
        <f>D36-I36</f>
        <v/>
      </c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</row>
    <row r="37" ht="15.75" customHeight="1" s="19">
      <c r="A37" s="10" t="n">
        <v>35</v>
      </c>
      <c r="B37" s="11" t="n">
        <v>0.839</v>
      </c>
      <c r="C37" s="11" t="n">
        <v>0.51</v>
      </c>
      <c r="D37" s="11" t="n">
        <v>-0.395</v>
      </c>
      <c r="E37" s="12" t="n"/>
      <c r="F37" s="10" t="n">
        <v>35</v>
      </c>
      <c r="G37" s="13" t="n">
        <v>1.098</v>
      </c>
      <c r="H37" s="13" t="n">
        <v>0.436</v>
      </c>
      <c r="I37" s="13" t="n">
        <v>-0.51</v>
      </c>
      <c r="J37" s="12" t="n"/>
      <c r="K37" s="10">
        <f>B37-G37</f>
        <v/>
      </c>
      <c r="L37" s="10">
        <f>C37-H37</f>
        <v/>
      </c>
      <c r="M37" s="10">
        <f>D37-I37</f>
        <v/>
      </c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</row>
    <row r="38" ht="15.75" customHeight="1" s="19">
      <c r="A38" s="10" t="n">
        <v>36</v>
      </c>
      <c r="B38" s="11" t="n">
        <v>0.8100000000000001</v>
      </c>
      <c r="C38" s="11" t="n">
        <v>0.585</v>
      </c>
      <c r="D38" s="11" t="n">
        <v>-0.358</v>
      </c>
      <c r="E38" s="12" t="n"/>
      <c r="F38" s="10" t="n">
        <v>36</v>
      </c>
      <c r="G38" s="13" t="n">
        <v>1.025</v>
      </c>
      <c r="H38" s="13" t="n">
        <v>0.591</v>
      </c>
      <c r="I38" s="13" t="n">
        <v>-0.425</v>
      </c>
      <c r="J38" s="12" t="n"/>
      <c r="K38" s="10">
        <f>B38-G38</f>
        <v/>
      </c>
      <c r="L38" s="10">
        <f>C38-H38</f>
        <v/>
      </c>
      <c r="M38" s="10">
        <f>D38-I38</f>
        <v/>
      </c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</row>
    <row r="39" ht="15.75" customHeight="1" s="19">
      <c r="A39" s="10" t="n">
        <v>37</v>
      </c>
      <c r="B39" s="11" t="n">
        <v>0.678</v>
      </c>
      <c r="C39" s="11" t="n">
        <v>0.52</v>
      </c>
      <c r="D39" s="11" t="n">
        <v>-0.264</v>
      </c>
      <c r="E39" s="12" t="n"/>
      <c r="F39" s="10" t="n">
        <v>37</v>
      </c>
      <c r="G39" s="13" t="n">
        <v>0.768</v>
      </c>
      <c r="H39" s="13" t="n">
        <v>0.592</v>
      </c>
      <c r="I39" s="13" t="n">
        <v>-0.388</v>
      </c>
      <c r="J39" s="12" t="n"/>
      <c r="K39" s="10">
        <f>B39-G39</f>
        <v/>
      </c>
      <c r="L39" s="10">
        <f>C39-H39</f>
        <v/>
      </c>
      <c r="M39" s="10">
        <f>D39-I39</f>
        <v/>
      </c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</row>
    <row r="40" ht="15.75" customHeight="1" s="19">
      <c r="A40" s="10" t="n">
        <v>38</v>
      </c>
      <c r="B40" s="11" t="n">
        <v>0.854</v>
      </c>
      <c r="C40" s="11" t="n">
        <v>0.694</v>
      </c>
      <c r="D40" s="11" t="n">
        <v>-0.362</v>
      </c>
      <c r="E40" s="12" t="n"/>
      <c r="F40" s="10" t="n">
        <v>38</v>
      </c>
      <c r="G40" s="13" t="n">
        <v>0.6929999999999999</v>
      </c>
      <c r="H40" s="13" t="n">
        <v>0.5580000000000001</v>
      </c>
      <c r="I40" s="13" t="n">
        <v>-0.327</v>
      </c>
      <c r="J40" s="12" t="n"/>
      <c r="K40" s="10">
        <f>B40-G40</f>
        <v/>
      </c>
      <c r="L40" s="10">
        <f>C40-H40</f>
        <v/>
      </c>
      <c r="M40" s="10">
        <f>D40-I40</f>
        <v/>
      </c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</row>
    <row r="41" ht="15.75" customHeight="1" s="19">
      <c r="A41" s="10" t="n">
        <v>39</v>
      </c>
      <c r="B41" s="11" t="n">
        <v>0.463</v>
      </c>
      <c r="C41" s="11" t="n">
        <v>0.322</v>
      </c>
      <c r="D41" s="11" t="n">
        <v>-0.249</v>
      </c>
      <c r="E41" s="12" t="n"/>
      <c r="F41" s="10" t="n">
        <v>39</v>
      </c>
      <c r="G41" s="13" t="n">
        <v>0.968</v>
      </c>
      <c r="H41" s="13" t="n">
        <v>0.681</v>
      </c>
      <c r="I41" s="13" t="n">
        <v>-0.429</v>
      </c>
      <c r="J41" s="12" t="n"/>
      <c r="K41" s="10">
        <f>B41-G41</f>
        <v/>
      </c>
      <c r="L41" s="10">
        <f>C41-H41</f>
        <v/>
      </c>
      <c r="M41" s="10">
        <f>D41-I41</f>
        <v/>
      </c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</row>
    <row r="42" ht="15.75" customHeight="1" s="19">
      <c r="A42" s="10" t="n">
        <v>40</v>
      </c>
      <c r="B42" s="11" t="n">
        <v>0.994</v>
      </c>
      <c r="C42" s="11" t="n">
        <v>0.469</v>
      </c>
      <c r="D42" s="11" t="n">
        <v>-0.415</v>
      </c>
      <c r="E42" s="12" t="n"/>
      <c r="F42" s="10" t="n">
        <v>40</v>
      </c>
      <c r="G42" s="13" t="n">
        <v>1.159</v>
      </c>
      <c r="H42" s="13" t="n">
        <v>0.516</v>
      </c>
      <c r="I42" s="13" t="n">
        <v>-0.468</v>
      </c>
      <c r="J42" s="12" t="n"/>
      <c r="K42" s="10">
        <f>B42-G42</f>
        <v/>
      </c>
      <c r="L42" s="10">
        <f>C42-H42</f>
        <v/>
      </c>
      <c r="M42" s="10">
        <f>D42-I42</f>
        <v/>
      </c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</row>
    <row r="43" ht="15.75" customHeight="1" s="19">
      <c r="A43" s="10" t="n">
        <v>41</v>
      </c>
      <c r="B43" s="11" t="n">
        <v>1.033</v>
      </c>
      <c r="C43" s="11" t="n">
        <v>0.578</v>
      </c>
      <c r="D43" s="11" t="n">
        <v>-0.471</v>
      </c>
      <c r="E43" s="12" t="n"/>
      <c r="F43" s="10" t="n">
        <v>41</v>
      </c>
      <c r="G43" s="13" t="n">
        <v>1.184</v>
      </c>
      <c r="H43" s="13" t="n">
        <v>0.65</v>
      </c>
      <c r="I43" s="13" t="n">
        <v>-0.526</v>
      </c>
      <c r="J43" s="12" t="n"/>
      <c r="K43" s="10">
        <f>B43-G43</f>
        <v/>
      </c>
      <c r="L43" s="10">
        <f>C43-H43</f>
        <v/>
      </c>
      <c r="M43" s="10">
        <f>D43-I43</f>
        <v/>
      </c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</row>
    <row r="44" ht="15.75" customHeight="1" s="19">
      <c r="A44" s="10" t="n">
        <v>42</v>
      </c>
      <c r="B44" s="11" t="n">
        <v>0.971</v>
      </c>
      <c r="C44" s="11" t="n">
        <v>0.761</v>
      </c>
      <c r="D44" s="11" t="n">
        <v>-0.397</v>
      </c>
      <c r="E44" s="12" t="n"/>
      <c r="F44" s="10" t="n">
        <v>42</v>
      </c>
      <c r="G44" s="13" t="n">
        <v>0.977</v>
      </c>
      <c r="H44" s="13" t="n">
        <v>0.666</v>
      </c>
      <c r="I44" s="13" t="n">
        <v>-0.467</v>
      </c>
      <c r="J44" s="12" t="n"/>
      <c r="K44" s="10">
        <f>B44-G44</f>
        <v/>
      </c>
      <c r="L44" s="10">
        <f>C44-H44</f>
        <v/>
      </c>
      <c r="M44" s="10">
        <f>D44-I44</f>
        <v/>
      </c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</row>
    <row r="45" ht="15.75" customHeight="1" s="19">
      <c r="A45" s="10" t="n">
        <v>43</v>
      </c>
      <c r="B45" s="11" t="n">
        <v>0.767</v>
      </c>
      <c r="C45" s="11" t="n">
        <v>0.544</v>
      </c>
      <c r="D45" s="11" t="n">
        <v>-0.36</v>
      </c>
      <c r="E45" s="12" t="n"/>
      <c r="F45" s="10" t="n">
        <v>43</v>
      </c>
      <c r="G45" s="13" t="n">
        <v>0.775</v>
      </c>
      <c r="H45" s="13" t="n">
        <v>0.5639999999999999</v>
      </c>
      <c r="I45" s="13" t="n">
        <v>-0.404</v>
      </c>
      <c r="J45" s="12" t="n"/>
      <c r="K45" s="10">
        <f>B45-G45</f>
        <v/>
      </c>
      <c r="L45" s="10">
        <f>C45-H45</f>
        <v/>
      </c>
      <c r="M45" s="10">
        <f>D45-I45</f>
        <v/>
      </c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</row>
    <row r="46" ht="15.75" customHeight="1" s="19">
      <c r="A46" s="10" t="n">
        <v>44</v>
      </c>
      <c r="B46" s="11" t="n">
        <v>0.843</v>
      </c>
      <c r="C46" s="11" t="n">
        <v>0.599</v>
      </c>
      <c r="D46" s="11" t="n">
        <v>-0.375</v>
      </c>
      <c r="E46" s="12" t="n"/>
      <c r="F46" s="10" t="n">
        <v>44</v>
      </c>
      <c r="G46" s="13" t="n">
        <v>0.981</v>
      </c>
      <c r="H46" s="13" t="n">
        <v>0.596</v>
      </c>
      <c r="I46" s="13" t="n">
        <v>-0.42</v>
      </c>
      <c r="J46" s="12" t="n"/>
      <c r="K46" s="10">
        <f>B46-G46</f>
        <v/>
      </c>
      <c r="L46" s="10">
        <f>C46-H46</f>
        <v/>
      </c>
      <c r="M46" s="10">
        <f>D46-I46</f>
        <v/>
      </c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</row>
    <row r="47" ht="15.75" customHeight="1" s="19">
      <c r="A47" s="10" t="n">
        <v>45</v>
      </c>
      <c r="B47" s="11" t="n">
        <v>0.735</v>
      </c>
      <c r="C47" s="11" t="n">
        <v>0.539</v>
      </c>
      <c r="D47" s="11" t="n">
        <v>-0.353</v>
      </c>
      <c r="E47" s="12" t="n"/>
      <c r="F47" s="10" t="n">
        <v>45</v>
      </c>
      <c r="G47" s="13" t="n">
        <v>1.083</v>
      </c>
      <c r="H47" s="13" t="n">
        <v>0.776</v>
      </c>
      <c r="I47" s="13" t="n">
        <v>-0.504</v>
      </c>
      <c r="J47" s="12" t="n"/>
      <c r="K47" s="10">
        <f>B47-G47</f>
        <v/>
      </c>
      <c r="L47" s="10">
        <f>C47-H47</f>
        <v/>
      </c>
      <c r="M47" s="10">
        <f>D47-I47</f>
        <v/>
      </c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</row>
    <row r="48" ht="15.75" customHeight="1" s="19">
      <c r="A48" s="10" t="n">
        <v>46</v>
      </c>
      <c r="B48" s="11" t="n">
        <v>0.769</v>
      </c>
      <c r="C48" s="11" t="n">
        <v>0.575</v>
      </c>
      <c r="D48" s="11" t="n">
        <v>-0.369</v>
      </c>
      <c r="E48" s="12" t="n"/>
      <c r="F48" s="10" t="n">
        <v>46</v>
      </c>
      <c r="G48" s="13" t="n">
        <v>1.001</v>
      </c>
      <c r="H48" s="13" t="n">
        <v>0.604</v>
      </c>
      <c r="I48" s="13" t="n">
        <v>-0.508</v>
      </c>
      <c r="J48" s="12" t="n"/>
      <c r="K48" s="10">
        <f>B48-G48</f>
        <v/>
      </c>
      <c r="L48" s="10">
        <f>C48-H48</f>
        <v/>
      </c>
      <c r="M48" s="10">
        <f>D48-I48</f>
        <v/>
      </c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</row>
    <row r="49" ht="15.75" customHeight="1" s="19">
      <c r="A49" s="10" t="n">
        <v>47</v>
      </c>
      <c r="B49" s="11" t="n">
        <v>0.551</v>
      </c>
      <c r="C49" s="11" t="n">
        <v>0.311</v>
      </c>
      <c r="D49" s="11" t="n">
        <v>-0.274</v>
      </c>
      <c r="E49" s="12" t="n"/>
      <c r="F49" s="10" t="n">
        <v>47</v>
      </c>
      <c r="G49" s="13" t="n">
        <v>0.674</v>
      </c>
      <c r="H49" s="13" t="n">
        <v>0.623</v>
      </c>
      <c r="I49" s="13" t="n">
        <v>-0.349</v>
      </c>
      <c r="J49" s="12" t="n"/>
      <c r="K49" s="10">
        <f>B49-G49</f>
        <v/>
      </c>
      <c r="L49" s="10">
        <f>C49-H49</f>
        <v/>
      </c>
      <c r="M49" s="10">
        <f>D49-I49</f>
        <v/>
      </c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</row>
    <row r="50" ht="15.75" customHeight="1" s="19">
      <c r="A50" s="10" t="n">
        <v>48</v>
      </c>
      <c r="B50" s="11" t="n">
        <v>0.79</v>
      </c>
      <c r="C50" s="11" t="n">
        <v>0.569</v>
      </c>
      <c r="D50" s="11" t="n">
        <v>-0.368</v>
      </c>
      <c r="E50" s="12" t="n"/>
      <c r="F50" s="10" t="n">
        <v>48</v>
      </c>
      <c r="G50" s="13" t="n">
        <v>0.945</v>
      </c>
      <c r="H50" s="13" t="n">
        <v>0.556</v>
      </c>
      <c r="I50" s="13" t="n">
        <v>-0.452</v>
      </c>
      <c r="J50" s="12" t="n"/>
      <c r="K50" s="10">
        <f>B50-G50</f>
        <v/>
      </c>
      <c r="L50" s="10">
        <f>C50-H50</f>
        <v/>
      </c>
      <c r="M50" s="10">
        <f>D50-I50</f>
        <v/>
      </c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</row>
    <row r="51" ht="15.75" customHeight="1" s="19">
      <c r="A51" s="10" t="n">
        <v>49</v>
      </c>
      <c r="B51" s="11" t="n">
        <v>0.662</v>
      </c>
      <c r="C51" s="11" t="n">
        <v>0.448</v>
      </c>
      <c r="D51" s="11" t="n">
        <v>-0.329</v>
      </c>
      <c r="E51" s="12" t="n"/>
      <c r="F51" s="10" t="n">
        <v>49</v>
      </c>
      <c r="G51" s="13" t="n">
        <v>1.106</v>
      </c>
      <c r="H51" s="13" t="n">
        <v>0.642</v>
      </c>
      <c r="I51" s="13" t="n">
        <v>-0.457</v>
      </c>
      <c r="J51" s="12" t="n"/>
      <c r="K51" s="10">
        <f>B51-G51</f>
        <v/>
      </c>
      <c r="L51" s="10">
        <f>C51-H51</f>
        <v/>
      </c>
      <c r="M51" s="10">
        <f>D51-I51</f>
        <v/>
      </c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</row>
    <row r="52" ht="15.75" customHeight="1" s="19">
      <c r="A52" s="10" t="n">
        <v>50</v>
      </c>
      <c r="B52" s="11" t="n">
        <v>0.882</v>
      </c>
      <c r="C52" s="11" t="n">
        <v>0.51</v>
      </c>
      <c r="D52" s="11" t="n">
        <v>-0.392</v>
      </c>
      <c r="E52" s="12" t="n"/>
      <c r="F52" s="10" t="n">
        <v>50</v>
      </c>
      <c r="G52" s="13" t="n">
        <v>0.843</v>
      </c>
      <c r="H52" s="13" t="n">
        <v>0.455</v>
      </c>
      <c r="I52" s="13" t="n">
        <v>-0.409</v>
      </c>
      <c r="J52" s="12" t="n"/>
      <c r="K52" s="10">
        <f>B52-G52</f>
        <v/>
      </c>
      <c r="L52" s="10">
        <f>C52-H52</f>
        <v/>
      </c>
      <c r="M52" s="10">
        <f>D52-I52</f>
        <v/>
      </c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</row>
    <row r="53" ht="15.75" customHeight="1" s="19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</row>
    <row r="54" ht="15.75" customHeight="1" s="19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</row>
    <row r="55" ht="15.75" customHeight="1" s="19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</row>
    <row r="56" ht="15.75" customHeight="1" s="19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</row>
    <row r="57" ht="15.75" customHeight="1" s="19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</row>
    <row r="58" ht="15.75" customHeight="1" s="19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</row>
    <row r="59" ht="15.75" customHeight="1" s="19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</row>
    <row r="60" ht="15.75" customHeight="1" s="19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</row>
    <row r="61" ht="15.75" customHeight="1" s="19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</row>
    <row r="62" ht="15.75" customHeight="1" s="19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</row>
    <row r="63" ht="15.75" customHeight="1" s="19">
      <c r="A63" s="4" t="n"/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</row>
    <row r="64" ht="15.75" customHeight="1" s="19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</row>
    <row r="65" ht="15.75" customHeight="1" s="19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</row>
    <row r="66" ht="15.75" customHeight="1" s="19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</row>
    <row r="67" ht="15.75" customHeight="1" s="19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</row>
    <row r="68" ht="15.75" customHeight="1" s="19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</row>
    <row r="69" ht="15.75" customHeight="1" s="19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</row>
    <row r="70" ht="15.75" customHeight="1" s="19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</row>
    <row r="71" ht="15.75" customHeight="1" s="19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</row>
    <row r="72" ht="15.75" customHeight="1" s="19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</row>
    <row r="73" ht="15.75" customHeight="1" s="19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</row>
    <row r="74" ht="15.75" customHeight="1" s="19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</row>
    <row r="75" ht="15.75" customHeight="1" s="19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</row>
    <row r="76" ht="15.75" customHeight="1" s="19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</row>
    <row r="77" ht="15.75" customHeight="1" s="19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</row>
    <row r="78" ht="15.75" customHeight="1" s="19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</row>
    <row r="79" ht="15.75" customHeight="1" s="19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</row>
    <row r="80" ht="15.75" customHeight="1" s="19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</row>
    <row r="81" ht="15.75" customHeight="1" s="19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</row>
    <row r="82" ht="15.75" customHeight="1" s="19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</row>
    <row r="83" ht="15.75" customHeight="1" s="19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</row>
    <row r="84" ht="15.75" customHeight="1" s="19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</row>
    <row r="85" ht="15.75" customHeight="1" s="19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</row>
    <row r="86" ht="15.75" customHeight="1" s="19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</row>
    <row r="87" ht="15.75" customHeight="1" s="19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</row>
    <row r="88" ht="15.75" customHeight="1" s="19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</row>
    <row r="89" ht="15.75" customHeight="1" s="19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</row>
    <row r="90" ht="15.75" customHeight="1" s="19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</row>
    <row r="91" ht="15.75" customHeight="1" s="19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</row>
    <row r="92" ht="15.75" customHeight="1" s="19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</row>
    <row r="93" ht="15.75" customHeight="1" s="19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</row>
    <row r="94" ht="15.75" customHeight="1" s="19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</row>
    <row r="95" ht="15.75" customHeight="1" s="19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</row>
    <row r="96" ht="15.75" customHeight="1" s="19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</row>
    <row r="97" ht="15.75" customHeight="1" s="19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</row>
    <row r="98" ht="15.75" customHeight="1" s="19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</row>
    <row r="99" ht="15.75" customHeight="1" s="19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</row>
    <row r="100" ht="15.75" customHeight="1" s="19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</row>
    <row r="101" ht="15.75" customHeight="1" s="19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</row>
    <row r="102" ht="15.75" customHeight="1" s="19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</row>
    <row r="103" ht="15.75" customHeight="1" s="19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</row>
    <row r="104" ht="15.75" customHeight="1" s="19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</row>
    <row r="105" ht="15.75" customHeight="1" s="19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</row>
    <row r="106" ht="15.75" customHeight="1" s="19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</row>
    <row r="107" ht="15.75" customHeight="1" s="19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</row>
    <row r="108" ht="15.75" customHeight="1" s="19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</row>
    <row r="109" ht="15.75" customHeight="1" s="19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</row>
    <row r="110" ht="15.75" customHeight="1" s="19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</row>
    <row r="111" ht="15.75" customHeight="1" s="19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</row>
    <row r="112" ht="15.75" customHeight="1" s="19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</row>
    <row r="113" ht="15.75" customHeight="1" s="19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</row>
    <row r="114" ht="15.75" customHeight="1" s="19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</row>
    <row r="115" ht="15.75" customHeight="1" s="19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</row>
    <row r="116" ht="15.75" customHeight="1" s="19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</row>
    <row r="117" ht="15.75" customHeight="1" s="19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</row>
    <row r="118" ht="15.75" customHeight="1" s="19">
      <c r="A118" s="4" t="n"/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</row>
    <row r="119" ht="15.75" customHeight="1" s="19">
      <c r="A119" s="4" t="n"/>
      <c r="B119" s="4" t="n"/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</row>
    <row r="120" ht="15.75" customHeight="1" s="19">
      <c r="A120" s="4" t="n"/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</row>
    <row r="121" ht="15.75" customHeight="1" s="19">
      <c r="A121" s="4" t="n"/>
      <c r="B121" s="4" t="n"/>
      <c r="C121" s="4" t="n"/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</row>
    <row r="122" ht="15.75" customHeight="1" s="19">
      <c r="A122" s="4" t="n"/>
      <c r="B122" s="4" t="n"/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</row>
    <row r="123" ht="15.75" customHeight="1" s="19">
      <c r="A123" s="4" t="n"/>
      <c r="B123" s="4" t="n"/>
      <c r="C123" s="4" t="n"/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</row>
    <row r="124" ht="15.75" customHeight="1" s="19">
      <c r="A124" s="4" t="n"/>
      <c r="B124" s="4" t="n"/>
      <c r="C124" s="4" t="n"/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</row>
    <row r="125" ht="15.75" customHeight="1" s="19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</row>
    <row r="126" ht="15.75" customHeight="1" s="19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</row>
    <row r="127" ht="15.75" customHeight="1" s="19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</row>
    <row r="128" ht="15.75" customHeight="1" s="19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</row>
    <row r="129" ht="15.75" customHeight="1" s="19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</row>
    <row r="130" ht="15.75" customHeight="1" s="19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</row>
    <row r="131" ht="15.75" customHeight="1" s="19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</row>
    <row r="132" ht="15.75" customHeight="1" s="19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</row>
    <row r="133" ht="15.75" customHeight="1" s="19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</row>
    <row r="134" ht="15.75" customHeight="1" s="19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</row>
    <row r="135" ht="15.75" customHeight="1" s="19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</row>
    <row r="136" ht="15.75" customHeight="1" s="19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</row>
    <row r="137" ht="15.75" customHeight="1" s="19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</row>
    <row r="138" ht="15.75" customHeight="1" s="19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</row>
    <row r="139" ht="15.75" customHeight="1" s="19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</row>
    <row r="140" ht="15.75" customHeight="1" s="19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</row>
    <row r="141" ht="15.75" customHeight="1" s="19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</row>
    <row r="142" ht="15.75" customHeight="1" s="19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</row>
    <row r="143" ht="15.75" customHeight="1" s="19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</row>
    <row r="144" ht="15.75" customHeight="1" s="19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</row>
    <row r="145" ht="15.75" customHeight="1" s="19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</row>
    <row r="146" ht="15.75" customHeight="1" s="19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</row>
    <row r="147" ht="15.75" customHeight="1" s="19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</row>
    <row r="148" ht="15.75" customHeight="1" s="19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</row>
    <row r="149" ht="15.75" customHeight="1" s="19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</row>
    <row r="150" ht="15.75" customHeight="1" s="19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</row>
    <row r="151" ht="15.75" customHeight="1" s="19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</row>
    <row r="152" ht="15.75" customHeight="1" s="19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</row>
    <row r="153" ht="15.75" customHeight="1" s="19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</row>
    <row r="154" ht="15.75" customHeight="1" s="19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</row>
    <row r="155" ht="15.75" customHeight="1" s="19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</row>
    <row r="156" ht="15.75" customHeight="1" s="19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</row>
    <row r="157" ht="15.75" customHeight="1" s="19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</row>
    <row r="158" ht="15.75" customHeight="1" s="19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</row>
    <row r="159" ht="15.75" customHeight="1" s="19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</row>
    <row r="160" ht="15.75" customHeight="1" s="19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</row>
    <row r="161" ht="15.75" customHeight="1" s="19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</row>
    <row r="162" ht="15.75" customHeight="1" s="19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</row>
    <row r="163" ht="15.75" customHeight="1" s="19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</row>
    <row r="164" ht="15.75" customHeight="1" s="19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</row>
    <row r="165" ht="15.75" customHeight="1" s="19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</row>
    <row r="166" ht="15.75" customHeight="1" s="19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</row>
    <row r="167" ht="15.75" customHeight="1" s="19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</row>
    <row r="168" ht="15.75" customHeight="1" s="19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</row>
    <row r="169" ht="15.75" customHeight="1" s="19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</row>
    <row r="170" ht="15.75" customHeight="1" s="19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</row>
    <row r="171" ht="15.75" customHeight="1" s="19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</row>
    <row r="172" ht="15.75" customHeight="1" s="19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</row>
    <row r="173" ht="15.75" customHeight="1" s="19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</row>
    <row r="174" ht="15.75" customHeight="1" s="19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</row>
    <row r="175" ht="15.75" customHeight="1" s="19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</row>
    <row r="176" ht="15.75" customHeight="1" s="19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</row>
    <row r="177" ht="15.75" customHeight="1" s="19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</row>
    <row r="178" ht="15.75" customHeight="1" s="19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</row>
    <row r="179" ht="15.75" customHeight="1" s="19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</row>
    <row r="180" ht="15.75" customHeight="1" s="19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</row>
    <row r="181" ht="15.75" customHeight="1" s="19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</row>
    <row r="182" ht="15.75" customHeight="1" s="19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</row>
    <row r="183" ht="15.75" customHeight="1" s="19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</row>
    <row r="184" ht="15.75" customHeight="1" s="19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</row>
    <row r="185" ht="15.75" customHeight="1" s="19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</row>
    <row r="186" ht="15.75" customHeight="1" s="19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</row>
    <row r="187" ht="15.75" customHeight="1" s="19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</row>
    <row r="188" ht="15.75" customHeight="1" s="19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</row>
    <row r="189" ht="15.75" customHeight="1" s="19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</row>
    <row r="190" ht="15.75" customHeight="1" s="19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</row>
    <row r="191" ht="15.75" customHeight="1" s="19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</row>
    <row r="192" ht="15.75" customHeight="1" s="19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</row>
    <row r="193" ht="15.75" customHeight="1" s="19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</row>
    <row r="194" ht="15.75" customHeight="1" s="19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</row>
    <row r="195" ht="15.75" customHeight="1" s="19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</row>
    <row r="196" ht="15.75" customHeight="1" s="19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</row>
    <row r="197" ht="15.75" customHeight="1" s="19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</row>
    <row r="198" ht="15.75" customHeight="1" s="19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</row>
    <row r="199" ht="15.75" customHeight="1" s="19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</row>
    <row r="200" ht="15.75" customHeight="1" s="19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</row>
    <row r="201" ht="15.75" customHeight="1" s="19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</row>
    <row r="202" ht="15.75" customHeight="1" s="19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</row>
    <row r="203" ht="15.75" customHeight="1" s="19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</row>
    <row r="204" ht="15.75" customHeight="1" s="19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</row>
    <row r="205" ht="15.75" customHeight="1" s="19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</row>
    <row r="206" ht="15.75" customHeight="1" s="19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</row>
    <row r="207" ht="15.75" customHeight="1" s="19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</row>
    <row r="208" ht="15.75" customHeight="1" s="19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</row>
    <row r="209" ht="15.75" customHeight="1" s="19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</row>
    <row r="210" ht="15.75" customHeight="1" s="19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</row>
    <row r="211" ht="15.75" customHeight="1" s="19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</row>
    <row r="212" ht="15.75" customHeight="1" s="19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</row>
    <row r="213" ht="15.75" customHeight="1" s="19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</row>
    <row r="214" ht="15.75" customHeight="1" s="19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</row>
    <row r="215" ht="15.75" customHeight="1" s="19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</row>
    <row r="216" ht="15.75" customHeight="1" s="19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</row>
    <row r="217" ht="15.75" customHeight="1" s="19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</row>
    <row r="218" ht="15.75" customHeight="1" s="19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</row>
    <row r="219" ht="15.75" customHeight="1" s="19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</row>
    <row r="220" ht="15.75" customHeight="1" s="19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</row>
    <row r="221" ht="15.75" customHeight="1" s="19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</row>
    <row r="222" ht="15.75" customHeight="1" s="19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</row>
    <row r="223" ht="15.75" customHeight="1" s="19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</row>
    <row r="224" ht="15.75" customHeight="1" s="19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</row>
    <row r="225" ht="15.75" customHeight="1" s="19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</row>
    <row r="226" ht="15.75" customHeight="1" s="19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</row>
    <row r="227" ht="15.75" customHeight="1" s="19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</row>
    <row r="228" ht="15.75" customHeight="1" s="19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</row>
    <row r="229" ht="15.75" customHeight="1" s="19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</row>
    <row r="230" ht="15.75" customHeight="1" s="19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</row>
    <row r="231" ht="15.75" customHeight="1" s="19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</row>
    <row r="232" ht="15.75" customHeight="1" s="19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</row>
    <row r="233" ht="15.75" customHeight="1" s="19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</row>
    <row r="234" ht="15.75" customHeight="1" s="19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</row>
    <row r="235" ht="15.75" customHeight="1" s="19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</row>
    <row r="236" ht="15.75" customHeight="1" s="19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</row>
    <row r="237" ht="15.75" customHeight="1" s="19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</row>
    <row r="238" ht="15.75" customHeight="1" s="19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</row>
    <row r="239" ht="15.75" customHeight="1" s="19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</row>
    <row r="240" ht="15.75" customHeight="1" s="19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</row>
    <row r="241" ht="15.75" customHeight="1" s="19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</row>
    <row r="242" ht="15.75" customHeight="1" s="19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</row>
    <row r="243" ht="15.75" customHeight="1" s="19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</row>
    <row r="244" ht="15.75" customHeight="1" s="19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</row>
    <row r="245" ht="15.75" customHeight="1" s="19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</row>
    <row r="246" ht="15.75" customHeight="1" s="19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</row>
    <row r="247" ht="15.75" customHeight="1" s="19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</row>
    <row r="248" ht="15.75" customHeight="1" s="19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</row>
    <row r="249" ht="15.75" customHeight="1" s="19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</row>
    <row r="250" ht="15.75" customHeight="1" s="19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</row>
    <row r="251" ht="15.75" customHeight="1" s="19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</row>
    <row r="252" ht="15.75" customHeight="1" s="19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</row>
    <row r="253" ht="15.75" customHeight="1" s="19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</row>
    <row r="254" ht="15.75" customHeight="1" s="19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</row>
    <row r="255" ht="15.75" customHeight="1" s="19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</row>
    <row r="256" ht="15.75" customHeight="1" s="19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</row>
    <row r="257" ht="15.75" customHeight="1" s="19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</row>
    <row r="258" ht="15.75" customHeight="1" s="19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</row>
    <row r="259" ht="15.75" customHeight="1" s="19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</row>
    <row r="260" ht="15.75" customHeight="1" s="19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</row>
    <row r="261" ht="15.75" customHeight="1" s="19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</row>
    <row r="262" ht="15.75" customHeight="1" s="19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</row>
    <row r="263" ht="15.75" customHeight="1" s="19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</row>
    <row r="264" ht="15.75" customHeight="1" s="19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</row>
    <row r="265" ht="15.75" customHeight="1" s="19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</row>
    <row r="266" ht="15.75" customHeight="1" s="19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</row>
    <row r="267" ht="15.75" customHeight="1" s="19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</row>
    <row r="268" ht="15.75" customHeight="1" s="19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</row>
    <row r="269" ht="15.75" customHeight="1" s="19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</row>
    <row r="270" ht="15.75" customHeight="1" s="19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</row>
    <row r="271" ht="15.75" customHeight="1" s="19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</row>
    <row r="272" ht="15.75" customHeight="1" s="19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</row>
    <row r="273" ht="15.75" customHeight="1" s="19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</row>
    <row r="274" ht="15.75" customHeight="1" s="19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</row>
    <row r="275" ht="15.75" customHeight="1" s="19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</row>
    <row r="276" ht="15.75" customHeight="1" s="19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</row>
    <row r="277" ht="15.75" customHeight="1" s="19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</row>
    <row r="278" ht="15.75" customHeight="1" s="19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</row>
    <row r="279" ht="15.75" customHeight="1" s="19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</row>
    <row r="280" ht="15.75" customHeight="1" s="19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</row>
    <row r="281" ht="15.75" customHeight="1" s="19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</row>
    <row r="282" ht="15.75" customHeight="1" s="19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</row>
    <row r="283" ht="15.75" customHeight="1" s="19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</row>
    <row r="284" ht="15.75" customHeight="1" s="19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</row>
    <row r="285" ht="15.75" customHeight="1" s="19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</row>
    <row r="286" ht="15.75" customHeight="1" s="19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</row>
    <row r="287" ht="15.75" customHeight="1" s="19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</row>
    <row r="288" ht="15.75" customHeight="1" s="19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</row>
    <row r="289" ht="15.75" customHeight="1" s="19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</row>
    <row r="290" ht="15.75" customHeight="1" s="19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</row>
    <row r="291" ht="15.75" customHeight="1" s="19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</row>
    <row r="292" ht="15.75" customHeight="1" s="19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</row>
    <row r="293" ht="15.75" customHeight="1" s="19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</row>
    <row r="294" ht="15.75" customHeight="1" s="19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</row>
    <row r="295" ht="15.75" customHeight="1" s="19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</row>
    <row r="296" ht="15.75" customHeight="1" s="19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</row>
    <row r="297" ht="15.75" customHeight="1" s="19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</row>
    <row r="298" ht="15.75" customHeight="1" s="19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</row>
    <row r="299" ht="15.75" customHeight="1" s="19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</row>
    <row r="300" ht="15.75" customHeight="1" s="19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</row>
    <row r="301" ht="15.75" customHeight="1" s="19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</row>
    <row r="302" ht="15.75" customHeight="1" s="19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</row>
    <row r="303" ht="15.75" customHeight="1" s="19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</row>
    <row r="304" ht="15.75" customHeight="1" s="19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</row>
    <row r="305" ht="15.75" customHeight="1" s="19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</row>
    <row r="306" ht="15.75" customHeight="1" s="19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</row>
    <row r="307" ht="15.75" customHeight="1" s="19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</row>
    <row r="308" ht="15.75" customHeight="1" s="19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</row>
    <row r="309" ht="15.75" customHeight="1" s="19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</row>
    <row r="310" ht="15.75" customHeight="1" s="19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</row>
    <row r="311" ht="15.75" customHeight="1" s="19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</row>
    <row r="312" ht="15.75" customHeight="1" s="19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</row>
    <row r="313" ht="15.75" customHeight="1" s="19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</row>
    <row r="314" ht="15.75" customHeight="1" s="19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</row>
    <row r="315" ht="15.75" customHeight="1" s="19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</row>
    <row r="316" ht="15.75" customHeight="1" s="19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</row>
    <row r="317" ht="15.75" customHeight="1" s="19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</row>
    <row r="318" ht="15.75" customHeight="1" s="19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</row>
    <row r="319" ht="15.75" customHeight="1" s="19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</row>
    <row r="320" ht="15.75" customHeight="1" s="19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</row>
    <row r="321" ht="15.75" customHeight="1" s="19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</row>
    <row r="322" ht="15.75" customHeight="1" s="19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</row>
    <row r="323" ht="15.75" customHeight="1" s="19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</row>
    <row r="324" ht="15.75" customHeight="1" s="19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</row>
    <row r="325" ht="15.75" customHeight="1" s="19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  <c r="O325" s="4" t="n"/>
      <c r="P325" s="4" t="n"/>
      <c r="Q325" s="4" t="n"/>
      <c r="R325" s="4" t="n"/>
      <c r="S325" s="4" t="n"/>
      <c r="T325" s="4" t="n"/>
      <c r="U325" s="4" t="n"/>
      <c r="V325" s="4" t="n"/>
      <c r="W325" s="4" t="n"/>
    </row>
    <row r="326" ht="15.75" customHeight="1" s="19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  <c r="O326" s="4" t="n"/>
      <c r="P326" s="4" t="n"/>
      <c r="Q326" s="4" t="n"/>
      <c r="R326" s="4" t="n"/>
      <c r="S326" s="4" t="n"/>
      <c r="T326" s="4" t="n"/>
      <c r="U326" s="4" t="n"/>
      <c r="V326" s="4" t="n"/>
      <c r="W326" s="4" t="n"/>
    </row>
    <row r="327" ht="15.75" customHeight="1" s="19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  <c r="O327" s="4" t="n"/>
      <c r="P327" s="4" t="n"/>
      <c r="Q327" s="4" t="n"/>
      <c r="R327" s="4" t="n"/>
      <c r="S327" s="4" t="n"/>
      <c r="T327" s="4" t="n"/>
      <c r="U327" s="4" t="n"/>
      <c r="V327" s="4" t="n"/>
      <c r="W327" s="4" t="n"/>
    </row>
    <row r="328" ht="15.75" customHeight="1" s="19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  <c r="O328" s="4" t="n"/>
      <c r="P328" s="4" t="n"/>
      <c r="Q328" s="4" t="n"/>
      <c r="R328" s="4" t="n"/>
      <c r="S328" s="4" t="n"/>
      <c r="T328" s="4" t="n"/>
      <c r="U328" s="4" t="n"/>
      <c r="V328" s="4" t="n"/>
      <c r="W328" s="4" t="n"/>
    </row>
    <row r="329" ht="15.75" customHeight="1" s="19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  <c r="O329" s="4" t="n"/>
      <c r="P329" s="4" t="n"/>
      <c r="Q329" s="4" t="n"/>
      <c r="R329" s="4" t="n"/>
      <c r="S329" s="4" t="n"/>
      <c r="T329" s="4" t="n"/>
      <c r="U329" s="4" t="n"/>
      <c r="V329" s="4" t="n"/>
      <c r="W329" s="4" t="n"/>
    </row>
    <row r="330" ht="15.75" customHeight="1" s="19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  <c r="O330" s="4" t="n"/>
      <c r="P330" s="4" t="n"/>
      <c r="Q330" s="4" t="n"/>
      <c r="R330" s="4" t="n"/>
      <c r="S330" s="4" t="n"/>
      <c r="T330" s="4" t="n"/>
      <c r="U330" s="4" t="n"/>
      <c r="V330" s="4" t="n"/>
      <c r="W330" s="4" t="n"/>
    </row>
    <row r="331" ht="15.75" customHeight="1" s="19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  <c r="O331" s="4" t="n"/>
      <c r="P331" s="4" t="n"/>
      <c r="Q331" s="4" t="n"/>
      <c r="R331" s="4" t="n"/>
      <c r="S331" s="4" t="n"/>
      <c r="T331" s="4" t="n"/>
      <c r="U331" s="4" t="n"/>
      <c r="V331" s="4" t="n"/>
      <c r="W331" s="4" t="n"/>
    </row>
    <row r="332" ht="15.75" customHeight="1" s="19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  <c r="O332" s="4" t="n"/>
      <c r="P332" s="4" t="n"/>
      <c r="Q332" s="4" t="n"/>
      <c r="R332" s="4" t="n"/>
      <c r="S332" s="4" t="n"/>
      <c r="T332" s="4" t="n"/>
      <c r="U332" s="4" t="n"/>
      <c r="V332" s="4" t="n"/>
      <c r="W332" s="4" t="n"/>
    </row>
    <row r="333" ht="15.75" customHeight="1" s="19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  <c r="O333" s="4" t="n"/>
      <c r="P333" s="4" t="n"/>
      <c r="Q333" s="4" t="n"/>
      <c r="R333" s="4" t="n"/>
      <c r="S333" s="4" t="n"/>
      <c r="T333" s="4" t="n"/>
      <c r="U333" s="4" t="n"/>
      <c r="V333" s="4" t="n"/>
      <c r="W333" s="4" t="n"/>
    </row>
    <row r="334" ht="15.75" customHeight="1" s="19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  <c r="O334" s="4" t="n"/>
      <c r="P334" s="4" t="n"/>
      <c r="Q334" s="4" t="n"/>
      <c r="R334" s="4" t="n"/>
      <c r="S334" s="4" t="n"/>
      <c r="T334" s="4" t="n"/>
      <c r="U334" s="4" t="n"/>
      <c r="V334" s="4" t="n"/>
      <c r="W334" s="4" t="n"/>
    </row>
    <row r="335" ht="15.75" customHeight="1" s="19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  <c r="O335" s="4" t="n"/>
      <c r="P335" s="4" t="n"/>
      <c r="Q335" s="4" t="n"/>
      <c r="R335" s="4" t="n"/>
      <c r="S335" s="4" t="n"/>
      <c r="T335" s="4" t="n"/>
      <c r="U335" s="4" t="n"/>
      <c r="V335" s="4" t="n"/>
      <c r="W335" s="4" t="n"/>
    </row>
    <row r="336" ht="15.75" customHeight="1" s="19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  <c r="O336" s="4" t="n"/>
      <c r="P336" s="4" t="n"/>
      <c r="Q336" s="4" t="n"/>
      <c r="R336" s="4" t="n"/>
      <c r="S336" s="4" t="n"/>
      <c r="T336" s="4" t="n"/>
      <c r="U336" s="4" t="n"/>
      <c r="V336" s="4" t="n"/>
      <c r="W336" s="4" t="n"/>
    </row>
    <row r="337" ht="15.75" customHeight="1" s="19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  <c r="O337" s="4" t="n"/>
      <c r="P337" s="4" t="n"/>
      <c r="Q337" s="4" t="n"/>
      <c r="R337" s="4" t="n"/>
      <c r="S337" s="4" t="n"/>
      <c r="T337" s="4" t="n"/>
      <c r="U337" s="4" t="n"/>
      <c r="V337" s="4" t="n"/>
      <c r="W337" s="4" t="n"/>
    </row>
    <row r="338" ht="15.75" customHeight="1" s="19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  <c r="O338" s="4" t="n"/>
      <c r="P338" s="4" t="n"/>
      <c r="Q338" s="4" t="n"/>
      <c r="R338" s="4" t="n"/>
      <c r="S338" s="4" t="n"/>
      <c r="T338" s="4" t="n"/>
      <c r="U338" s="4" t="n"/>
      <c r="V338" s="4" t="n"/>
      <c r="W338" s="4" t="n"/>
    </row>
    <row r="339" ht="15.75" customHeight="1" s="19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  <c r="O339" s="4" t="n"/>
      <c r="P339" s="4" t="n"/>
      <c r="Q339" s="4" t="n"/>
      <c r="R339" s="4" t="n"/>
      <c r="S339" s="4" t="n"/>
      <c r="T339" s="4" t="n"/>
      <c r="U339" s="4" t="n"/>
      <c r="V339" s="4" t="n"/>
      <c r="W339" s="4" t="n"/>
    </row>
    <row r="340" ht="15.75" customHeight="1" s="19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  <c r="O340" s="4" t="n"/>
      <c r="P340" s="4" t="n"/>
      <c r="Q340" s="4" t="n"/>
      <c r="R340" s="4" t="n"/>
      <c r="S340" s="4" t="n"/>
      <c r="T340" s="4" t="n"/>
      <c r="U340" s="4" t="n"/>
      <c r="V340" s="4" t="n"/>
      <c r="W340" s="4" t="n"/>
    </row>
    <row r="341" ht="15.75" customHeight="1" s="19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  <c r="O341" s="4" t="n"/>
      <c r="P341" s="4" t="n"/>
      <c r="Q341" s="4" t="n"/>
      <c r="R341" s="4" t="n"/>
      <c r="S341" s="4" t="n"/>
      <c r="T341" s="4" t="n"/>
      <c r="U341" s="4" t="n"/>
      <c r="V341" s="4" t="n"/>
      <c r="W341" s="4" t="n"/>
    </row>
    <row r="342" ht="15.75" customHeight="1" s="19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  <c r="O342" s="4" t="n"/>
      <c r="P342" s="4" t="n"/>
      <c r="Q342" s="4" t="n"/>
      <c r="R342" s="4" t="n"/>
      <c r="S342" s="4" t="n"/>
      <c r="T342" s="4" t="n"/>
      <c r="U342" s="4" t="n"/>
      <c r="V342" s="4" t="n"/>
      <c r="W342" s="4" t="n"/>
    </row>
    <row r="343" ht="15.75" customHeight="1" s="19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  <c r="O343" s="4" t="n"/>
      <c r="P343" s="4" t="n"/>
      <c r="Q343" s="4" t="n"/>
      <c r="R343" s="4" t="n"/>
      <c r="S343" s="4" t="n"/>
      <c r="T343" s="4" t="n"/>
      <c r="U343" s="4" t="n"/>
      <c r="V343" s="4" t="n"/>
      <c r="W343" s="4" t="n"/>
    </row>
    <row r="344" ht="15.75" customHeight="1" s="19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  <c r="O344" s="4" t="n"/>
      <c r="P344" s="4" t="n"/>
      <c r="Q344" s="4" t="n"/>
      <c r="R344" s="4" t="n"/>
      <c r="S344" s="4" t="n"/>
      <c r="T344" s="4" t="n"/>
      <c r="U344" s="4" t="n"/>
      <c r="V344" s="4" t="n"/>
      <c r="W344" s="4" t="n"/>
    </row>
    <row r="345" ht="15.75" customHeight="1" s="19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  <c r="O345" s="4" t="n"/>
      <c r="P345" s="4" t="n"/>
      <c r="Q345" s="4" t="n"/>
      <c r="R345" s="4" t="n"/>
      <c r="S345" s="4" t="n"/>
      <c r="T345" s="4" t="n"/>
      <c r="U345" s="4" t="n"/>
      <c r="V345" s="4" t="n"/>
      <c r="W345" s="4" t="n"/>
    </row>
    <row r="346" ht="15.75" customHeight="1" s="19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  <c r="O346" s="4" t="n"/>
      <c r="P346" s="4" t="n"/>
      <c r="Q346" s="4" t="n"/>
      <c r="R346" s="4" t="n"/>
      <c r="S346" s="4" t="n"/>
      <c r="T346" s="4" t="n"/>
      <c r="U346" s="4" t="n"/>
      <c r="V346" s="4" t="n"/>
      <c r="W346" s="4" t="n"/>
    </row>
    <row r="347" ht="15.75" customHeight="1" s="19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  <c r="O347" s="4" t="n"/>
      <c r="P347" s="4" t="n"/>
      <c r="Q347" s="4" t="n"/>
      <c r="R347" s="4" t="n"/>
      <c r="S347" s="4" t="n"/>
      <c r="T347" s="4" t="n"/>
      <c r="U347" s="4" t="n"/>
      <c r="V347" s="4" t="n"/>
      <c r="W347" s="4" t="n"/>
    </row>
    <row r="348" ht="15.75" customHeight="1" s="19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  <c r="O348" s="4" t="n"/>
      <c r="P348" s="4" t="n"/>
      <c r="Q348" s="4" t="n"/>
      <c r="R348" s="4" t="n"/>
      <c r="S348" s="4" t="n"/>
      <c r="T348" s="4" t="n"/>
      <c r="U348" s="4" t="n"/>
      <c r="V348" s="4" t="n"/>
      <c r="W348" s="4" t="n"/>
    </row>
    <row r="349" ht="15.75" customHeight="1" s="19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  <c r="O349" s="4" t="n"/>
      <c r="P349" s="4" t="n"/>
      <c r="Q349" s="4" t="n"/>
      <c r="R349" s="4" t="n"/>
      <c r="S349" s="4" t="n"/>
      <c r="T349" s="4" t="n"/>
      <c r="U349" s="4" t="n"/>
      <c r="V349" s="4" t="n"/>
      <c r="W349" s="4" t="n"/>
    </row>
    <row r="350" ht="15.75" customHeight="1" s="19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  <c r="O350" s="4" t="n"/>
      <c r="P350" s="4" t="n"/>
      <c r="Q350" s="4" t="n"/>
      <c r="R350" s="4" t="n"/>
      <c r="S350" s="4" t="n"/>
      <c r="T350" s="4" t="n"/>
      <c r="U350" s="4" t="n"/>
      <c r="V350" s="4" t="n"/>
      <c r="W350" s="4" t="n"/>
    </row>
    <row r="351" ht="15.75" customHeight="1" s="19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  <c r="O351" s="4" t="n"/>
      <c r="P351" s="4" t="n"/>
      <c r="Q351" s="4" t="n"/>
      <c r="R351" s="4" t="n"/>
      <c r="S351" s="4" t="n"/>
      <c r="T351" s="4" t="n"/>
      <c r="U351" s="4" t="n"/>
      <c r="V351" s="4" t="n"/>
      <c r="W351" s="4" t="n"/>
    </row>
    <row r="352" ht="15.75" customHeight="1" s="19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  <c r="O352" s="4" t="n"/>
      <c r="P352" s="4" t="n"/>
      <c r="Q352" s="4" t="n"/>
      <c r="R352" s="4" t="n"/>
      <c r="S352" s="4" t="n"/>
      <c r="T352" s="4" t="n"/>
      <c r="U352" s="4" t="n"/>
      <c r="V352" s="4" t="n"/>
      <c r="W352" s="4" t="n"/>
    </row>
    <row r="353" ht="15.75" customHeight="1" s="19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  <c r="O353" s="4" t="n"/>
      <c r="P353" s="4" t="n"/>
      <c r="Q353" s="4" t="n"/>
      <c r="R353" s="4" t="n"/>
      <c r="S353" s="4" t="n"/>
      <c r="T353" s="4" t="n"/>
      <c r="U353" s="4" t="n"/>
      <c r="V353" s="4" t="n"/>
      <c r="W353" s="4" t="n"/>
    </row>
    <row r="354" ht="15.75" customHeight="1" s="19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  <c r="O354" s="4" t="n"/>
      <c r="P354" s="4" t="n"/>
      <c r="Q354" s="4" t="n"/>
      <c r="R354" s="4" t="n"/>
      <c r="S354" s="4" t="n"/>
      <c r="T354" s="4" t="n"/>
      <c r="U354" s="4" t="n"/>
      <c r="V354" s="4" t="n"/>
      <c r="W354" s="4" t="n"/>
    </row>
    <row r="355" ht="15.75" customHeight="1" s="19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  <c r="O355" s="4" t="n"/>
      <c r="P355" s="4" t="n"/>
      <c r="Q355" s="4" t="n"/>
      <c r="R355" s="4" t="n"/>
      <c r="S355" s="4" t="n"/>
      <c r="T355" s="4" t="n"/>
      <c r="U355" s="4" t="n"/>
      <c r="V355" s="4" t="n"/>
      <c r="W355" s="4" t="n"/>
    </row>
    <row r="356" ht="15.75" customHeight="1" s="19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  <c r="O356" s="4" t="n"/>
      <c r="P356" s="4" t="n"/>
      <c r="Q356" s="4" t="n"/>
      <c r="R356" s="4" t="n"/>
      <c r="S356" s="4" t="n"/>
      <c r="T356" s="4" t="n"/>
      <c r="U356" s="4" t="n"/>
      <c r="V356" s="4" t="n"/>
      <c r="W356" s="4" t="n"/>
    </row>
    <row r="357" ht="15.75" customHeight="1" s="19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  <c r="O357" s="4" t="n"/>
      <c r="P357" s="4" t="n"/>
      <c r="Q357" s="4" t="n"/>
      <c r="R357" s="4" t="n"/>
      <c r="S357" s="4" t="n"/>
      <c r="T357" s="4" t="n"/>
      <c r="U357" s="4" t="n"/>
      <c r="V357" s="4" t="n"/>
      <c r="W357" s="4" t="n"/>
    </row>
    <row r="358" ht="15.75" customHeight="1" s="19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n"/>
      <c r="O358" s="4" t="n"/>
      <c r="P358" s="4" t="n"/>
      <c r="Q358" s="4" t="n"/>
      <c r="R358" s="4" t="n"/>
      <c r="S358" s="4" t="n"/>
      <c r="T358" s="4" t="n"/>
      <c r="U358" s="4" t="n"/>
      <c r="V358" s="4" t="n"/>
      <c r="W358" s="4" t="n"/>
    </row>
    <row r="359" ht="15.75" customHeight="1" s="19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/>
      <c r="N359" s="4" t="n"/>
      <c r="O359" s="4" t="n"/>
      <c r="P359" s="4" t="n"/>
      <c r="Q359" s="4" t="n"/>
      <c r="R359" s="4" t="n"/>
      <c r="S359" s="4" t="n"/>
      <c r="T359" s="4" t="n"/>
      <c r="U359" s="4" t="n"/>
      <c r="V359" s="4" t="n"/>
      <c r="W359" s="4" t="n"/>
    </row>
    <row r="360" ht="15.75" customHeight="1" s="19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/>
      <c r="N360" s="4" t="n"/>
      <c r="O360" s="4" t="n"/>
      <c r="P360" s="4" t="n"/>
      <c r="Q360" s="4" t="n"/>
      <c r="R360" s="4" t="n"/>
      <c r="S360" s="4" t="n"/>
      <c r="T360" s="4" t="n"/>
      <c r="U360" s="4" t="n"/>
      <c r="V360" s="4" t="n"/>
      <c r="W360" s="4" t="n"/>
    </row>
    <row r="361" ht="15.75" customHeight="1" s="19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  <c r="O361" s="4" t="n"/>
      <c r="P361" s="4" t="n"/>
      <c r="Q361" s="4" t="n"/>
      <c r="R361" s="4" t="n"/>
      <c r="S361" s="4" t="n"/>
      <c r="T361" s="4" t="n"/>
      <c r="U361" s="4" t="n"/>
      <c r="V361" s="4" t="n"/>
      <c r="W361" s="4" t="n"/>
    </row>
    <row r="362" ht="15.75" customHeight="1" s="19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  <c r="O362" s="4" t="n"/>
      <c r="P362" s="4" t="n"/>
      <c r="Q362" s="4" t="n"/>
      <c r="R362" s="4" t="n"/>
      <c r="S362" s="4" t="n"/>
      <c r="T362" s="4" t="n"/>
      <c r="U362" s="4" t="n"/>
      <c r="V362" s="4" t="n"/>
      <c r="W362" s="4" t="n"/>
    </row>
    <row r="363" ht="15.75" customHeight="1" s="19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  <c r="O363" s="4" t="n"/>
      <c r="P363" s="4" t="n"/>
      <c r="Q363" s="4" t="n"/>
      <c r="R363" s="4" t="n"/>
      <c r="S363" s="4" t="n"/>
      <c r="T363" s="4" t="n"/>
      <c r="U363" s="4" t="n"/>
      <c r="V363" s="4" t="n"/>
      <c r="W363" s="4" t="n"/>
    </row>
    <row r="364" ht="15.75" customHeight="1" s="19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  <c r="O364" s="4" t="n"/>
      <c r="P364" s="4" t="n"/>
      <c r="Q364" s="4" t="n"/>
      <c r="R364" s="4" t="n"/>
      <c r="S364" s="4" t="n"/>
      <c r="T364" s="4" t="n"/>
      <c r="U364" s="4" t="n"/>
      <c r="V364" s="4" t="n"/>
      <c r="W364" s="4" t="n"/>
    </row>
    <row r="365" ht="15.75" customHeight="1" s="19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  <c r="O365" s="4" t="n"/>
      <c r="P365" s="4" t="n"/>
      <c r="Q365" s="4" t="n"/>
      <c r="R365" s="4" t="n"/>
      <c r="S365" s="4" t="n"/>
      <c r="T365" s="4" t="n"/>
      <c r="U365" s="4" t="n"/>
      <c r="V365" s="4" t="n"/>
      <c r="W365" s="4" t="n"/>
    </row>
    <row r="366" ht="15.75" customHeight="1" s="19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  <c r="O366" s="4" t="n"/>
      <c r="P366" s="4" t="n"/>
      <c r="Q366" s="4" t="n"/>
      <c r="R366" s="4" t="n"/>
      <c r="S366" s="4" t="n"/>
      <c r="T366" s="4" t="n"/>
      <c r="U366" s="4" t="n"/>
      <c r="V366" s="4" t="n"/>
      <c r="W366" s="4" t="n"/>
    </row>
    <row r="367" ht="15.75" customHeight="1" s="19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  <c r="O367" s="4" t="n"/>
      <c r="P367" s="4" t="n"/>
      <c r="Q367" s="4" t="n"/>
      <c r="R367" s="4" t="n"/>
      <c r="S367" s="4" t="n"/>
      <c r="T367" s="4" t="n"/>
      <c r="U367" s="4" t="n"/>
      <c r="V367" s="4" t="n"/>
      <c r="W367" s="4" t="n"/>
    </row>
    <row r="368" ht="15.75" customHeight="1" s="19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  <c r="O368" s="4" t="n"/>
      <c r="P368" s="4" t="n"/>
      <c r="Q368" s="4" t="n"/>
      <c r="R368" s="4" t="n"/>
      <c r="S368" s="4" t="n"/>
      <c r="T368" s="4" t="n"/>
      <c r="U368" s="4" t="n"/>
      <c r="V368" s="4" t="n"/>
      <c r="W368" s="4" t="n"/>
    </row>
    <row r="369" ht="15.75" customHeight="1" s="19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  <c r="O369" s="4" t="n"/>
      <c r="P369" s="4" t="n"/>
      <c r="Q369" s="4" t="n"/>
      <c r="R369" s="4" t="n"/>
      <c r="S369" s="4" t="n"/>
      <c r="T369" s="4" t="n"/>
      <c r="U369" s="4" t="n"/>
      <c r="V369" s="4" t="n"/>
      <c r="W369" s="4" t="n"/>
    </row>
    <row r="370" ht="15.75" customHeight="1" s="19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  <c r="O370" s="4" t="n"/>
      <c r="P370" s="4" t="n"/>
      <c r="Q370" s="4" t="n"/>
      <c r="R370" s="4" t="n"/>
      <c r="S370" s="4" t="n"/>
      <c r="T370" s="4" t="n"/>
      <c r="U370" s="4" t="n"/>
      <c r="V370" s="4" t="n"/>
      <c r="W370" s="4" t="n"/>
    </row>
    <row r="371" ht="15.75" customHeight="1" s="19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  <c r="O371" s="4" t="n"/>
      <c r="P371" s="4" t="n"/>
      <c r="Q371" s="4" t="n"/>
      <c r="R371" s="4" t="n"/>
      <c r="S371" s="4" t="n"/>
      <c r="T371" s="4" t="n"/>
      <c r="U371" s="4" t="n"/>
      <c r="V371" s="4" t="n"/>
      <c r="W371" s="4" t="n"/>
    </row>
    <row r="372" ht="15.75" customHeight="1" s="19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  <c r="O372" s="4" t="n"/>
      <c r="P372" s="4" t="n"/>
      <c r="Q372" s="4" t="n"/>
      <c r="R372" s="4" t="n"/>
      <c r="S372" s="4" t="n"/>
      <c r="T372" s="4" t="n"/>
      <c r="U372" s="4" t="n"/>
      <c r="V372" s="4" t="n"/>
      <c r="W372" s="4" t="n"/>
    </row>
    <row r="373" ht="15.75" customHeight="1" s="19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  <c r="O373" s="4" t="n"/>
      <c r="P373" s="4" t="n"/>
      <c r="Q373" s="4" t="n"/>
      <c r="R373" s="4" t="n"/>
      <c r="S373" s="4" t="n"/>
      <c r="T373" s="4" t="n"/>
      <c r="U373" s="4" t="n"/>
      <c r="V373" s="4" t="n"/>
      <c r="W373" s="4" t="n"/>
    </row>
    <row r="374" ht="15.75" customHeight="1" s="19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  <c r="O374" s="4" t="n"/>
      <c r="P374" s="4" t="n"/>
      <c r="Q374" s="4" t="n"/>
      <c r="R374" s="4" t="n"/>
      <c r="S374" s="4" t="n"/>
      <c r="T374" s="4" t="n"/>
      <c r="U374" s="4" t="n"/>
      <c r="V374" s="4" t="n"/>
      <c r="W374" s="4" t="n"/>
    </row>
    <row r="375" ht="15.75" customHeight="1" s="19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  <c r="O375" s="4" t="n"/>
      <c r="P375" s="4" t="n"/>
      <c r="Q375" s="4" t="n"/>
      <c r="R375" s="4" t="n"/>
      <c r="S375" s="4" t="n"/>
      <c r="T375" s="4" t="n"/>
      <c r="U375" s="4" t="n"/>
      <c r="V375" s="4" t="n"/>
      <c r="W375" s="4" t="n"/>
    </row>
    <row r="376" ht="15.75" customHeight="1" s="19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  <c r="O376" s="4" t="n"/>
      <c r="P376" s="4" t="n"/>
      <c r="Q376" s="4" t="n"/>
      <c r="R376" s="4" t="n"/>
      <c r="S376" s="4" t="n"/>
      <c r="T376" s="4" t="n"/>
      <c r="U376" s="4" t="n"/>
      <c r="V376" s="4" t="n"/>
      <c r="W376" s="4" t="n"/>
    </row>
    <row r="377" ht="15.75" customHeight="1" s="19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/>
      <c r="N377" s="4" t="n"/>
      <c r="O377" s="4" t="n"/>
      <c r="P377" s="4" t="n"/>
      <c r="Q377" s="4" t="n"/>
      <c r="R377" s="4" t="n"/>
      <c r="S377" s="4" t="n"/>
      <c r="T377" s="4" t="n"/>
      <c r="U377" s="4" t="n"/>
      <c r="V377" s="4" t="n"/>
      <c r="W377" s="4" t="n"/>
    </row>
    <row r="378" ht="15.75" customHeight="1" s="19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  <c r="O378" s="4" t="n"/>
      <c r="P378" s="4" t="n"/>
      <c r="Q378" s="4" t="n"/>
      <c r="R378" s="4" t="n"/>
      <c r="S378" s="4" t="n"/>
      <c r="T378" s="4" t="n"/>
      <c r="U378" s="4" t="n"/>
      <c r="V378" s="4" t="n"/>
      <c r="W378" s="4" t="n"/>
    </row>
    <row r="379" ht="15.75" customHeight="1" s="19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/>
      <c r="N379" s="4" t="n"/>
      <c r="O379" s="4" t="n"/>
      <c r="P379" s="4" t="n"/>
      <c r="Q379" s="4" t="n"/>
      <c r="R379" s="4" t="n"/>
      <c r="S379" s="4" t="n"/>
      <c r="T379" s="4" t="n"/>
      <c r="U379" s="4" t="n"/>
      <c r="V379" s="4" t="n"/>
      <c r="W379" s="4" t="n"/>
    </row>
    <row r="380" ht="15.75" customHeight="1" s="19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/>
      <c r="O380" s="4" t="n"/>
      <c r="P380" s="4" t="n"/>
      <c r="Q380" s="4" t="n"/>
      <c r="R380" s="4" t="n"/>
      <c r="S380" s="4" t="n"/>
      <c r="T380" s="4" t="n"/>
      <c r="U380" s="4" t="n"/>
      <c r="V380" s="4" t="n"/>
      <c r="W380" s="4" t="n"/>
    </row>
    <row r="381" ht="15.75" customHeight="1" s="19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  <c r="O381" s="4" t="n"/>
      <c r="P381" s="4" t="n"/>
      <c r="Q381" s="4" t="n"/>
      <c r="R381" s="4" t="n"/>
      <c r="S381" s="4" t="n"/>
      <c r="T381" s="4" t="n"/>
      <c r="U381" s="4" t="n"/>
      <c r="V381" s="4" t="n"/>
      <c r="W381" s="4" t="n"/>
    </row>
    <row r="382" ht="15.75" customHeight="1" s="19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/>
      <c r="O382" s="4" t="n"/>
      <c r="P382" s="4" t="n"/>
      <c r="Q382" s="4" t="n"/>
      <c r="R382" s="4" t="n"/>
      <c r="S382" s="4" t="n"/>
      <c r="T382" s="4" t="n"/>
      <c r="U382" s="4" t="n"/>
      <c r="V382" s="4" t="n"/>
      <c r="W382" s="4" t="n"/>
    </row>
    <row r="383" ht="15.75" customHeight="1" s="19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/>
      <c r="O383" s="4" t="n"/>
      <c r="P383" s="4" t="n"/>
      <c r="Q383" s="4" t="n"/>
      <c r="R383" s="4" t="n"/>
      <c r="S383" s="4" t="n"/>
      <c r="T383" s="4" t="n"/>
      <c r="U383" s="4" t="n"/>
      <c r="V383" s="4" t="n"/>
      <c r="W383" s="4" t="n"/>
    </row>
    <row r="384" ht="15.75" customHeight="1" s="19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/>
      <c r="O384" s="4" t="n"/>
      <c r="P384" s="4" t="n"/>
      <c r="Q384" s="4" t="n"/>
      <c r="R384" s="4" t="n"/>
      <c r="S384" s="4" t="n"/>
      <c r="T384" s="4" t="n"/>
      <c r="U384" s="4" t="n"/>
      <c r="V384" s="4" t="n"/>
      <c r="W384" s="4" t="n"/>
    </row>
    <row r="385" ht="15.75" customHeight="1" s="19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/>
      <c r="O385" s="4" t="n"/>
      <c r="P385" s="4" t="n"/>
      <c r="Q385" s="4" t="n"/>
      <c r="R385" s="4" t="n"/>
      <c r="S385" s="4" t="n"/>
      <c r="T385" s="4" t="n"/>
      <c r="U385" s="4" t="n"/>
      <c r="V385" s="4" t="n"/>
      <c r="W385" s="4" t="n"/>
    </row>
    <row r="386" ht="15.75" customHeight="1" s="19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/>
      <c r="O386" s="4" t="n"/>
      <c r="P386" s="4" t="n"/>
      <c r="Q386" s="4" t="n"/>
      <c r="R386" s="4" t="n"/>
      <c r="S386" s="4" t="n"/>
      <c r="T386" s="4" t="n"/>
      <c r="U386" s="4" t="n"/>
      <c r="V386" s="4" t="n"/>
      <c r="W386" s="4" t="n"/>
    </row>
    <row r="387" ht="15.75" customHeight="1" s="19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/>
      <c r="O387" s="4" t="n"/>
      <c r="P387" s="4" t="n"/>
      <c r="Q387" s="4" t="n"/>
      <c r="R387" s="4" t="n"/>
      <c r="S387" s="4" t="n"/>
      <c r="T387" s="4" t="n"/>
      <c r="U387" s="4" t="n"/>
      <c r="V387" s="4" t="n"/>
      <c r="W387" s="4" t="n"/>
    </row>
    <row r="388" ht="15.75" customHeight="1" s="19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/>
      <c r="O388" s="4" t="n"/>
      <c r="P388" s="4" t="n"/>
      <c r="Q388" s="4" t="n"/>
      <c r="R388" s="4" t="n"/>
      <c r="S388" s="4" t="n"/>
      <c r="T388" s="4" t="n"/>
      <c r="U388" s="4" t="n"/>
      <c r="V388" s="4" t="n"/>
      <c r="W388" s="4" t="n"/>
    </row>
    <row r="389" ht="15.75" customHeight="1" s="19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/>
      <c r="O389" s="4" t="n"/>
      <c r="P389" s="4" t="n"/>
      <c r="Q389" s="4" t="n"/>
      <c r="R389" s="4" t="n"/>
      <c r="S389" s="4" t="n"/>
      <c r="T389" s="4" t="n"/>
      <c r="U389" s="4" t="n"/>
      <c r="V389" s="4" t="n"/>
      <c r="W389" s="4" t="n"/>
    </row>
    <row r="390" ht="15.75" customHeight="1" s="19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/>
      <c r="O390" s="4" t="n"/>
      <c r="P390" s="4" t="n"/>
      <c r="Q390" s="4" t="n"/>
      <c r="R390" s="4" t="n"/>
      <c r="S390" s="4" t="n"/>
      <c r="T390" s="4" t="n"/>
      <c r="U390" s="4" t="n"/>
      <c r="V390" s="4" t="n"/>
      <c r="W390" s="4" t="n"/>
    </row>
    <row r="391" ht="15.75" customHeight="1" s="19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/>
      <c r="O391" s="4" t="n"/>
      <c r="P391" s="4" t="n"/>
      <c r="Q391" s="4" t="n"/>
      <c r="R391" s="4" t="n"/>
      <c r="S391" s="4" t="n"/>
      <c r="T391" s="4" t="n"/>
      <c r="U391" s="4" t="n"/>
      <c r="V391" s="4" t="n"/>
      <c r="W391" s="4" t="n"/>
    </row>
    <row r="392" ht="15.75" customHeight="1" s="19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/>
      <c r="O392" s="4" t="n"/>
      <c r="P392" s="4" t="n"/>
      <c r="Q392" s="4" t="n"/>
      <c r="R392" s="4" t="n"/>
      <c r="S392" s="4" t="n"/>
      <c r="T392" s="4" t="n"/>
      <c r="U392" s="4" t="n"/>
      <c r="V392" s="4" t="n"/>
      <c r="W392" s="4" t="n"/>
    </row>
    <row r="393" ht="15.75" customHeight="1" s="19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/>
      <c r="O393" s="4" t="n"/>
      <c r="P393" s="4" t="n"/>
      <c r="Q393" s="4" t="n"/>
      <c r="R393" s="4" t="n"/>
      <c r="S393" s="4" t="n"/>
      <c r="T393" s="4" t="n"/>
      <c r="U393" s="4" t="n"/>
      <c r="V393" s="4" t="n"/>
      <c r="W393" s="4" t="n"/>
    </row>
    <row r="394" ht="15.75" customHeight="1" s="19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/>
      <c r="O394" s="4" t="n"/>
      <c r="P394" s="4" t="n"/>
      <c r="Q394" s="4" t="n"/>
      <c r="R394" s="4" t="n"/>
      <c r="S394" s="4" t="n"/>
      <c r="T394" s="4" t="n"/>
      <c r="U394" s="4" t="n"/>
      <c r="V394" s="4" t="n"/>
      <c r="W394" s="4" t="n"/>
    </row>
    <row r="395" ht="15.75" customHeight="1" s="19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/>
      <c r="O395" s="4" t="n"/>
      <c r="P395" s="4" t="n"/>
      <c r="Q395" s="4" t="n"/>
      <c r="R395" s="4" t="n"/>
      <c r="S395" s="4" t="n"/>
      <c r="T395" s="4" t="n"/>
      <c r="U395" s="4" t="n"/>
      <c r="V395" s="4" t="n"/>
      <c r="W395" s="4" t="n"/>
    </row>
    <row r="396" ht="15.75" customHeight="1" s="19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/>
      <c r="O396" s="4" t="n"/>
      <c r="P396" s="4" t="n"/>
      <c r="Q396" s="4" t="n"/>
      <c r="R396" s="4" t="n"/>
      <c r="S396" s="4" t="n"/>
      <c r="T396" s="4" t="n"/>
      <c r="U396" s="4" t="n"/>
      <c r="V396" s="4" t="n"/>
      <c r="W396" s="4" t="n"/>
    </row>
    <row r="397" ht="15.75" customHeight="1" s="19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/>
      <c r="N397" s="4" t="n"/>
      <c r="O397" s="4" t="n"/>
      <c r="P397" s="4" t="n"/>
      <c r="Q397" s="4" t="n"/>
      <c r="R397" s="4" t="n"/>
      <c r="S397" s="4" t="n"/>
      <c r="T397" s="4" t="n"/>
      <c r="U397" s="4" t="n"/>
      <c r="V397" s="4" t="n"/>
      <c r="W397" s="4" t="n"/>
    </row>
    <row r="398" ht="15.75" customHeight="1" s="19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/>
      <c r="N398" s="4" t="n"/>
      <c r="O398" s="4" t="n"/>
      <c r="P398" s="4" t="n"/>
      <c r="Q398" s="4" t="n"/>
      <c r="R398" s="4" t="n"/>
      <c r="S398" s="4" t="n"/>
      <c r="T398" s="4" t="n"/>
      <c r="U398" s="4" t="n"/>
      <c r="V398" s="4" t="n"/>
      <c r="W398" s="4" t="n"/>
    </row>
    <row r="399" ht="15.75" customHeight="1" s="19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/>
      <c r="N399" s="4" t="n"/>
      <c r="O399" s="4" t="n"/>
      <c r="P399" s="4" t="n"/>
      <c r="Q399" s="4" t="n"/>
      <c r="R399" s="4" t="n"/>
      <c r="S399" s="4" t="n"/>
      <c r="T399" s="4" t="n"/>
      <c r="U399" s="4" t="n"/>
      <c r="V399" s="4" t="n"/>
      <c r="W399" s="4" t="n"/>
    </row>
    <row r="400" ht="15.75" customHeight="1" s="19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n"/>
      <c r="O400" s="4" t="n"/>
      <c r="P400" s="4" t="n"/>
      <c r="Q400" s="4" t="n"/>
      <c r="R400" s="4" t="n"/>
      <c r="S400" s="4" t="n"/>
      <c r="T400" s="4" t="n"/>
      <c r="U400" s="4" t="n"/>
      <c r="V400" s="4" t="n"/>
      <c r="W400" s="4" t="n"/>
    </row>
    <row r="401" ht="15.75" customHeight="1" s="19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/>
      <c r="N401" s="4" t="n"/>
      <c r="O401" s="4" t="n"/>
      <c r="P401" s="4" t="n"/>
      <c r="Q401" s="4" t="n"/>
      <c r="R401" s="4" t="n"/>
      <c r="S401" s="4" t="n"/>
      <c r="T401" s="4" t="n"/>
      <c r="U401" s="4" t="n"/>
      <c r="V401" s="4" t="n"/>
      <c r="W401" s="4" t="n"/>
    </row>
    <row r="402" ht="15.75" customHeight="1" s="19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n"/>
      <c r="O402" s="4" t="n"/>
      <c r="P402" s="4" t="n"/>
      <c r="Q402" s="4" t="n"/>
      <c r="R402" s="4" t="n"/>
      <c r="S402" s="4" t="n"/>
      <c r="T402" s="4" t="n"/>
      <c r="U402" s="4" t="n"/>
      <c r="V402" s="4" t="n"/>
      <c r="W402" s="4" t="n"/>
    </row>
    <row r="403" ht="15.75" customHeight="1" s="19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  <c r="M403" s="4" t="n"/>
      <c r="N403" s="4" t="n"/>
      <c r="O403" s="4" t="n"/>
      <c r="P403" s="4" t="n"/>
      <c r="Q403" s="4" t="n"/>
      <c r="R403" s="4" t="n"/>
      <c r="S403" s="4" t="n"/>
      <c r="T403" s="4" t="n"/>
      <c r="U403" s="4" t="n"/>
      <c r="V403" s="4" t="n"/>
      <c r="W403" s="4" t="n"/>
    </row>
    <row r="404" ht="15.75" customHeight="1" s="19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/>
      <c r="N404" s="4" t="n"/>
      <c r="O404" s="4" t="n"/>
      <c r="P404" s="4" t="n"/>
      <c r="Q404" s="4" t="n"/>
      <c r="R404" s="4" t="n"/>
      <c r="S404" s="4" t="n"/>
      <c r="T404" s="4" t="n"/>
      <c r="U404" s="4" t="n"/>
      <c r="V404" s="4" t="n"/>
      <c r="W404" s="4" t="n"/>
    </row>
    <row r="405" ht="15.75" customHeight="1" s="19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  <c r="M405" s="4" t="n"/>
      <c r="N405" s="4" t="n"/>
      <c r="O405" s="4" t="n"/>
      <c r="P405" s="4" t="n"/>
      <c r="Q405" s="4" t="n"/>
      <c r="R405" s="4" t="n"/>
      <c r="S405" s="4" t="n"/>
      <c r="T405" s="4" t="n"/>
      <c r="U405" s="4" t="n"/>
      <c r="V405" s="4" t="n"/>
      <c r="W405" s="4" t="n"/>
    </row>
    <row r="406" ht="15.75" customHeight="1" s="19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/>
      <c r="N406" s="4" t="n"/>
      <c r="O406" s="4" t="n"/>
      <c r="P406" s="4" t="n"/>
      <c r="Q406" s="4" t="n"/>
      <c r="R406" s="4" t="n"/>
      <c r="S406" s="4" t="n"/>
      <c r="T406" s="4" t="n"/>
      <c r="U406" s="4" t="n"/>
      <c r="V406" s="4" t="n"/>
      <c r="W406" s="4" t="n"/>
    </row>
    <row r="407" ht="15.75" customHeight="1" s="19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/>
      <c r="N407" s="4" t="n"/>
      <c r="O407" s="4" t="n"/>
      <c r="P407" s="4" t="n"/>
      <c r="Q407" s="4" t="n"/>
      <c r="R407" s="4" t="n"/>
      <c r="S407" s="4" t="n"/>
      <c r="T407" s="4" t="n"/>
      <c r="U407" s="4" t="n"/>
      <c r="V407" s="4" t="n"/>
      <c r="W407" s="4" t="n"/>
    </row>
    <row r="408" ht="15.75" customHeight="1" s="19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/>
      <c r="N408" s="4" t="n"/>
      <c r="O408" s="4" t="n"/>
      <c r="P408" s="4" t="n"/>
      <c r="Q408" s="4" t="n"/>
      <c r="R408" s="4" t="n"/>
      <c r="S408" s="4" t="n"/>
      <c r="T408" s="4" t="n"/>
      <c r="U408" s="4" t="n"/>
      <c r="V408" s="4" t="n"/>
      <c r="W408" s="4" t="n"/>
    </row>
    <row r="409" ht="15.75" customHeight="1" s="19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/>
      <c r="M409" s="4" t="n"/>
      <c r="N409" s="4" t="n"/>
      <c r="O409" s="4" t="n"/>
      <c r="P409" s="4" t="n"/>
      <c r="Q409" s="4" t="n"/>
      <c r="R409" s="4" t="n"/>
      <c r="S409" s="4" t="n"/>
      <c r="T409" s="4" t="n"/>
      <c r="U409" s="4" t="n"/>
      <c r="V409" s="4" t="n"/>
      <c r="W409" s="4" t="n"/>
    </row>
    <row r="410" ht="15.75" customHeight="1" s="19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/>
      <c r="N410" s="4" t="n"/>
      <c r="O410" s="4" t="n"/>
      <c r="P410" s="4" t="n"/>
      <c r="Q410" s="4" t="n"/>
      <c r="R410" s="4" t="n"/>
      <c r="S410" s="4" t="n"/>
      <c r="T410" s="4" t="n"/>
      <c r="U410" s="4" t="n"/>
      <c r="V410" s="4" t="n"/>
      <c r="W410" s="4" t="n"/>
    </row>
    <row r="411" ht="15.75" customHeight="1" s="19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/>
      <c r="N411" s="4" t="n"/>
      <c r="O411" s="4" t="n"/>
      <c r="P411" s="4" t="n"/>
      <c r="Q411" s="4" t="n"/>
      <c r="R411" s="4" t="n"/>
      <c r="S411" s="4" t="n"/>
      <c r="T411" s="4" t="n"/>
      <c r="U411" s="4" t="n"/>
      <c r="V411" s="4" t="n"/>
      <c r="W411" s="4" t="n"/>
    </row>
    <row r="412" ht="15.75" customHeight="1" s="19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/>
      <c r="N412" s="4" t="n"/>
      <c r="O412" s="4" t="n"/>
      <c r="P412" s="4" t="n"/>
      <c r="Q412" s="4" t="n"/>
      <c r="R412" s="4" t="n"/>
      <c r="S412" s="4" t="n"/>
      <c r="T412" s="4" t="n"/>
      <c r="U412" s="4" t="n"/>
      <c r="V412" s="4" t="n"/>
      <c r="W412" s="4" t="n"/>
    </row>
    <row r="413" ht="15.75" customHeight="1" s="19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/>
      <c r="N413" s="4" t="n"/>
      <c r="O413" s="4" t="n"/>
      <c r="P413" s="4" t="n"/>
      <c r="Q413" s="4" t="n"/>
      <c r="R413" s="4" t="n"/>
      <c r="S413" s="4" t="n"/>
      <c r="T413" s="4" t="n"/>
      <c r="U413" s="4" t="n"/>
      <c r="V413" s="4" t="n"/>
      <c r="W413" s="4" t="n"/>
    </row>
    <row r="414" ht="15.75" customHeight="1" s="19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/>
      <c r="N414" s="4" t="n"/>
      <c r="O414" s="4" t="n"/>
      <c r="P414" s="4" t="n"/>
      <c r="Q414" s="4" t="n"/>
      <c r="R414" s="4" t="n"/>
      <c r="S414" s="4" t="n"/>
      <c r="T414" s="4" t="n"/>
      <c r="U414" s="4" t="n"/>
      <c r="V414" s="4" t="n"/>
      <c r="W414" s="4" t="n"/>
    </row>
    <row r="415" ht="15.75" customHeight="1" s="19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/>
      <c r="N415" s="4" t="n"/>
      <c r="O415" s="4" t="n"/>
      <c r="P415" s="4" t="n"/>
      <c r="Q415" s="4" t="n"/>
      <c r="R415" s="4" t="n"/>
      <c r="S415" s="4" t="n"/>
      <c r="T415" s="4" t="n"/>
      <c r="U415" s="4" t="n"/>
      <c r="V415" s="4" t="n"/>
      <c r="W415" s="4" t="n"/>
    </row>
    <row r="416" ht="15.75" customHeight="1" s="19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/>
      <c r="N416" s="4" t="n"/>
      <c r="O416" s="4" t="n"/>
      <c r="P416" s="4" t="n"/>
      <c r="Q416" s="4" t="n"/>
      <c r="R416" s="4" t="n"/>
      <c r="S416" s="4" t="n"/>
      <c r="T416" s="4" t="n"/>
      <c r="U416" s="4" t="n"/>
      <c r="V416" s="4" t="n"/>
      <c r="W416" s="4" t="n"/>
    </row>
    <row r="417" ht="15.75" customHeight="1" s="19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/>
      <c r="N417" s="4" t="n"/>
      <c r="O417" s="4" t="n"/>
      <c r="P417" s="4" t="n"/>
      <c r="Q417" s="4" t="n"/>
      <c r="R417" s="4" t="n"/>
      <c r="S417" s="4" t="n"/>
      <c r="T417" s="4" t="n"/>
      <c r="U417" s="4" t="n"/>
      <c r="V417" s="4" t="n"/>
      <c r="W417" s="4" t="n"/>
    </row>
    <row r="418" ht="15.75" customHeight="1" s="19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n"/>
      <c r="O418" s="4" t="n"/>
      <c r="P418" s="4" t="n"/>
      <c r="Q418" s="4" t="n"/>
      <c r="R418" s="4" t="n"/>
      <c r="S418" s="4" t="n"/>
      <c r="T418" s="4" t="n"/>
      <c r="U418" s="4" t="n"/>
      <c r="V418" s="4" t="n"/>
      <c r="W418" s="4" t="n"/>
    </row>
    <row r="419" ht="15.75" customHeight="1" s="19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/>
      <c r="M419" s="4" t="n"/>
      <c r="N419" s="4" t="n"/>
      <c r="O419" s="4" t="n"/>
      <c r="P419" s="4" t="n"/>
      <c r="Q419" s="4" t="n"/>
      <c r="R419" s="4" t="n"/>
      <c r="S419" s="4" t="n"/>
      <c r="T419" s="4" t="n"/>
      <c r="U419" s="4" t="n"/>
      <c r="V419" s="4" t="n"/>
      <c r="W419" s="4" t="n"/>
    </row>
    <row r="420" ht="15.75" customHeight="1" s="19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/>
      <c r="M420" s="4" t="n"/>
      <c r="N420" s="4" t="n"/>
      <c r="O420" s="4" t="n"/>
      <c r="P420" s="4" t="n"/>
      <c r="Q420" s="4" t="n"/>
      <c r="R420" s="4" t="n"/>
      <c r="S420" s="4" t="n"/>
      <c r="T420" s="4" t="n"/>
      <c r="U420" s="4" t="n"/>
      <c r="V420" s="4" t="n"/>
      <c r="W420" s="4" t="n"/>
    </row>
    <row r="421" ht="15.75" customHeight="1" s="19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/>
      <c r="M421" s="4" t="n"/>
      <c r="N421" s="4" t="n"/>
      <c r="O421" s="4" t="n"/>
      <c r="P421" s="4" t="n"/>
      <c r="Q421" s="4" t="n"/>
      <c r="R421" s="4" t="n"/>
      <c r="S421" s="4" t="n"/>
      <c r="T421" s="4" t="n"/>
      <c r="U421" s="4" t="n"/>
      <c r="V421" s="4" t="n"/>
      <c r="W421" s="4" t="n"/>
    </row>
    <row r="422" ht="15.75" customHeight="1" s="19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/>
      <c r="M422" s="4" t="n"/>
      <c r="N422" s="4" t="n"/>
      <c r="O422" s="4" t="n"/>
      <c r="P422" s="4" t="n"/>
      <c r="Q422" s="4" t="n"/>
      <c r="R422" s="4" t="n"/>
      <c r="S422" s="4" t="n"/>
      <c r="T422" s="4" t="n"/>
      <c r="U422" s="4" t="n"/>
      <c r="V422" s="4" t="n"/>
      <c r="W422" s="4" t="n"/>
    </row>
    <row r="423" ht="15.75" customHeight="1" s="19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/>
      <c r="M423" s="4" t="n"/>
      <c r="N423" s="4" t="n"/>
      <c r="O423" s="4" t="n"/>
      <c r="P423" s="4" t="n"/>
      <c r="Q423" s="4" t="n"/>
      <c r="R423" s="4" t="n"/>
      <c r="S423" s="4" t="n"/>
      <c r="T423" s="4" t="n"/>
      <c r="U423" s="4" t="n"/>
      <c r="V423" s="4" t="n"/>
      <c r="W423" s="4" t="n"/>
    </row>
    <row r="424" ht="15.75" customHeight="1" s="19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/>
      <c r="M424" s="4" t="n"/>
      <c r="N424" s="4" t="n"/>
      <c r="O424" s="4" t="n"/>
      <c r="P424" s="4" t="n"/>
      <c r="Q424" s="4" t="n"/>
      <c r="R424" s="4" t="n"/>
      <c r="S424" s="4" t="n"/>
      <c r="T424" s="4" t="n"/>
      <c r="U424" s="4" t="n"/>
      <c r="V424" s="4" t="n"/>
      <c r="W424" s="4" t="n"/>
    </row>
    <row r="425" ht="15.75" customHeight="1" s="19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/>
      <c r="M425" s="4" t="n"/>
      <c r="N425" s="4" t="n"/>
      <c r="O425" s="4" t="n"/>
      <c r="P425" s="4" t="n"/>
      <c r="Q425" s="4" t="n"/>
      <c r="R425" s="4" t="n"/>
      <c r="S425" s="4" t="n"/>
      <c r="T425" s="4" t="n"/>
      <c r="U425" s="4" t="n"/>
      <c r="V425" s="4" t="n"/>
      <c r="W425" s="4" t="n"/>
    </row>
    <row r="426" ht="15.75" customHeight="1" s="19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/>
      <c r="M426" s="4" t="n"/>
      <c r="N426" s="4" t="n"/>
      <c r="O426" s="4" t="n"/>
      <c r="P426" s="4" t="n"/>
      <c r="Q426" s="4" t="n"/>
      <c r="R426" s="4" t="n"/>
      <c r="S426" s="4" t="n"/>
      <c r="T426" s="4" t="n"/>
      <c r="U426" s="4" t="n"/>
      <c r="V426" s="4" t="n"/>
      <c r="W426" s="4" t="n"/>
    </row>
    <row r="427" ht="15.75" customHeight="1" s="19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/>
      <c r="M427" s="4" t="n"/>
      <c r="N427" s="4" t="n"/>
      <c r="O427" s="4" t="n"/>
      <c r="P427" s="4" t="n"/>
      <c r="Q427" s="4" t="n"/>
      <c r="R427" s="4" t="n"/>
      <c r="S427" s="4" t="n"/>
      <c r="T427" s="4" t="n"/>
      <c r="U427" s="4" t="n"/>
      <c r="V427" s="4" t="n"/>
      <c r="W427" s="4" t="n"/>
    </row>
    <row r="428" ht="15.75" customHeight="1" s="19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/>
      <c r="M428" s="4" t="n"/>
      <c r="N428" s="4" t="n"/>
      <c r="O428" s="4" t="n"/>
      <c r="P428" s="4" t="n"/>
      <c r="Q428" s="4" t="n"/>
      <c r="R428" s="4" t="n"/>
      <c r="S428" s="4" t="n"/>
      <c r="T428" s="4" t="n"/>
      <c r="U428" s="4" t="n"/>
      <c r="V428" s="4" t="n"/>
      <c r="W428" s="4" t="n"/>
    </row>
    <row r="429" ht="15.75" customHeight="1" s="19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/>
      <c r="M429" s="4" t="n"/>
      <c r="N429" s="4" t="n"/>
      <c r="O429" s="4" t="n"/>
      <c r="P429" s="4" t="n"/>
      <c r="Q429" s="4" t="n"/>
      <c r="R429" s="4" t="n"/>
      <c r="S429" s="4" t="n"/>
      <c r="T429" s="4" t="n"/>
      <c r="U429" s="4" t="n"/>
      <c r="V429" s="4" t="n"/>
      <c r="W429" s="4" t="n"/>
    </row>
    <row r="430" ht="15.75" customHeight="1" s="19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/>
      <c r="M430" s="4" t="n"/>
      <c r="N430" s="4" t="n"/>
      <c r="O430" s="4" t="n"/>
      <c r="P430" s="4" t="n"/>
      <c r="Q430" s="4" t="n"/>
      <c r="R430" s="4" t="n"/>
      <c r="S430" s="4" t="n"/>
      <c r="T430" s="4" t="n"/>
      <c r="U430" s="4" t="n"/>
      <c r="V430" s="4" t="n"/>
      <c r="W430" s="4" t="n"/>
    </row>
    <row r="431" ht="15.75" customHeight="1" s="19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/>
      <c r="M431" s="4" t="n"/>
      <c r="N431" s="4" t="n"/>
      <c r="O431" s="4" t="n"/>
      <c r="P431" s="4" t="n"/>
      <c r="Q431" s="4" t="n"/>
      <c r="R431" s="4" t="n"/>
      <c r="S431" s="4" t="n"/>
      <c r="T431" s="4" t="n"/>
      <c r="U431" s="4" t="n"/>
      <c r="V431" s="4" t="n"/>
      <c r="W431" s="4" t="n"/>
    </row>
    <row r="432" ht="15.75" customHeight="1" s="19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/>
      <c r="M432" s="4" t="n"/>
      <c r="N432" s="4" t="n"/>
      <c r="O432" s="4" t="n"/>
      <c r="P432" s="4" t="n"/>
      <c r="Q432" s="4" t="n"/>
      <c r="R432" s="4" t="n"/>
      <c r="S432" s="4" t="n"/>
      <c r="T432" s="4" t="n"/>
      <c r="U432" s="4" t="n"/>
      <c r="V432" s="4" t="n"/>
      <c r="W432" s="4" t="n"/>
    </row>
    <row r="433" ht="15.75" customHeight="1" s="19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/>
      <c r="M433" s="4" t="n"/>
      <c r="N433" s="4" t="n"/>
      <c r="O433" s="4" t="n"/>
      <c r="P433" s="4" t="n"/>
      <c r="Q433" s="4" t="n"/>
      <c r="R433" s="4" t="n"/>
      <c r="S433" s="4" t="n"/>
      <c r="T433" s="4" t="n"/>
      <c r="U433" s="4" t="n"/>
      <c r="V433" s="4" t="n"/>
      <c r="W433" s="4" t="n"/>
    </row>
    <row r="434" ht="15.75" customHeight="1" s="19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/>
      <c r="M434" s="4" t="n"/>
      <c r="N434" s="4" t="n"/>
      <c r="O434" s="4" t="n"/>
      <c r="P434" s="4" t="n"/>
      <c r="Q434" s="4" t="n"/>
      <c r="R434" s="4" t="n"/>
      <c r="S434" s="4" t="n"/>
      <c r="T434" s="4" t="n"/>
      <c r="U434" s="4" t="n"/>
      <c r="V434" s="4" t="n"/>
      <c r="W434" s="4" t="n"/>
    </row>
    <row r="435" ht="15.75" customHeight="1" s="19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/>
      <c r="M435" s="4" t="n"/>
      <c r="N435" s="4" t="n"/>
      <c r="O435" s="4" t="n"/>
      <c r="P435" s="4" t="n"/>
      <c r="Q435" s="4" t="n"/>
      <c r="R435" s="4" t="n"/>
      <c r="S435" s="4" t="n"/>
      <c r="T435" s="4" t="n"/>
      <c r="U435" s="4" t="n"/>
      <c r="V435" s="4" t="n"/>
      <c r="W435" s="4" t="n"/>
    </row>
    <row r="436" ht="15.75" customHeight="1" s="19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  <c r="M436" s="4" t="n"/>
      <c r="N436" s="4" t="n"/>
      <c r="O436" s="4" t="n"/>
      <c r="P436" s="4" t="n"/>
      <c r="Q436" s="4" t="n"/>
      <c r="R436" s="4" t="n"/>
      <c r="S436" s="4" t="n"/>
      <c r="T436" s="4" t="n"/>
      <c r="U436" s="4" t="n"/>
      <c r="V436" s="4" t="n"/>
      <c r="W436" s="4" t="n"/>
    </row>
    <row r="437" ht="15.75" customHeight="1" s="19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/>
      <c r="M437" s="4" t="n"/>
      <c r="N437" s="4" t="n"/>
      <c r="O437" s="4" t="n"/>
      <c r="P437" s="4" t="n"/>
      <c r="Q437" s="4" t="n"/>
      <c r="R437" s="4" t="n"/>
      <c r="S437" s="4" t="n"/>
      <c r="T437" s="4" t="n"/>
      <c r="U437" s="4" t="n"/>
      <c r="V437" s="4" t="n"/>
      <c r="W437" s="4" t="n"/>
    </row>
    <row r="438" ht="15.75" customHeight="1" s="19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/>
      <c r="M438" s="4" t="n"/>
      <c r="N438" s="4" t="n"/>
      <c r="O438" s="4" t="n"/>
      <c r="P438" s="4" t="n"/>
      <c r="Q438" s="4" t="n"/>
      <c r="R438" s="4" t="n"/>
      <c r="S438" s="4" t="n"/>
      <c r="T438" s="4" t="n"/>
      <c r="U438" s="4" t="n"/>
      <c r="V438" s="4" t="n"/>
      <c r="W438" s="4" t="n"/>
    </row>
    <row r="439" ht="15.75" customHeight="1" s="19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/>
      <c r="M439" s="4" t="n"/>
      <c r="N439" s="4" t="n"/>
      <c r="O439" s="4" t="n"/>
      <c r="P439" s="4" t="n"/>
      <c r="Q439" s="4" t="n"/>
      <c r="R439" s="4" t="n"/>
      <c r="S439" s="4" t="n"/>
      <c r="T439" s="4" t="n"/>
      <c r="U439" s="4" t="n"/>
      <c r="V439" s="4" t="n"/>
      <c r="W439" s="4" t="n"/>
    </row>
    <row r="440" ht="15.75" customHeight="1" s="19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/>
      <c r="M440" s="4" t="n"/>
      <c r="N440" s="4" t="n"/>
      <c r="O440" s="4" t="n"/>
      <c r="P440" s="4" t="n"/>
      <c r="Q440" s="4" t="n"/>
      <c r="R440" s="4" t="n"/>
      <c r="S440" s="4" t="n"/>
      <c r="T440" s="4" t="n"/>
      <c r="U440" s="4" t="n"/>
      <c r="V440" s="4" t="n"/>
      <c r="W440" s="4" t="n"/>
    </row>
    <row r="441" ht="15.75" customHeight="1" s="19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/>
      <c r="M441" s="4" t="n"/>
      <c r="N441" s="4" t="n"/>
      <c r="O441" s="4" t="n"/>
      <c r="P441" s="4" t="n"/>
      <c r="Q441" s="4" t="n"/>
      <c r="R441" s="4" t="n"/>
      <c r="S441" s="4" t="n"/>
      <c r="T441" s="4" t="n"/>
      <c r="U441" s="4" t="n"/>
      <c r="V441" s="4" t="n"/>
      <c r="W441" s="4" t="n"/>
    </row>
    <row r="442" ht="15.75" customHeight="1" s="19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/>
      <c r="M442" s="4" t="n"/>
      <c r="N442" s="4" t="n"/>
      <c r="O442" s="4" t="n"/>
      <c r="P442" s="4" t="n"/>
      <c r="Q442" s="4" t="n"/>
      <c r="R442" s="4" t="n"/>
      <c r="S442" s="4" t="n"/>
      <c r="T442" s="4" t="n"/>
      <c r="U442" s="4" t="n"/>
      <c r="V442" s="4" t="n"/>
      <c r="W442" s="4" t="n"/>
    </row>
    <row r="443" ht="15.75" customHeight="1" s="19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/>
      <c r="M443" s="4" t="n"/>
      <c r="N443" s="4" t="n"/>
      <c r="O443" s="4" t="n"/>
      <c r="P443" s="4" t="n"/>
      <c r="Q443" s="4" t="n"/>
      <c r="R443" s="4" t="n"/>
      <c r="S443" s="4" t="n"/>
      <c r="T443" s="4" t="n"/>
      <c r="U443" s="4" t="n"/>
      <c r="V443" s="4" t="n"/>
      <c r="W443" s="4" t="n"/>
    </row>
    <row r="444" ht="15.75" customHeight="1" s="19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/>
      <c r="M444" s="4" t="n"/>
      <c r="N444" s="4" t="n"/>
      <c r="O444" s="4" t="n"/>
      <c r="P444" s="4" t="n"/>
      <c r="Q444" s="4" t="n"/>
      <c r="R444" s="4" t="n"/>
      <c r="S444" s="4" t="n"/>
      <c r="T444" s="4" t="n"/>
      <c r="U444" s="4" t="n"/>
      <c r="V444" s="4" t="n"/>
      <c r="W444" s="4" t="n"/>
    </row>
    <row r="445" ht="15.75" customHeight="1" s="19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/>
      <c r="M445" s="4" t="n"/>
      <c r="N445" s="4" t="n"/>
      <c r="O445" s="4" t="n"/>
      <c r="P445" s="4" t="n"/>
      <c r="Q445" s="4" t="n"/>
      <c r="R445" s="4" t="n"/>
      <c r="S445" s="4" t="n"/>
      <c r="T445" s="4" t="n"/>
      <c r="U445" s="4" t="n"/>
      <c r="V445" s="4" t="n"/>
      <c r="W445" s="4" t="n"/>
    </row>
    <row r="446" ht="15.75" customHeight="1" s="19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/>
      <c r="M446" s="4" t="n"/>
      <c r="N446" s="4" t="n"/>
      <c r="O446" s="4" t="n"/>
      <c r="P446" s="4" t="n"/>
      <c r="Q446" s="4" t="n"/>
      <c r="R446" s="4" t="n"/>
      <c r="S446" s="4" t="n"/>
      <c r="T446" s="4" t="n"/>
      <c r="U446" s="4" t="n"/>
      <c r="V446" s="4" t="n"/>
      <c r="W446" s="4" t="n"/>
    </row>
    <row r="447" ht="15.75" customHeight="1" s="19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/>
      <c r="M447" s="4" t="n"/>
      <c r="N447" s="4" t="n"/>
      <c r="O447" s="4" t="n"/>
      <c r="P447" s="4" t="n"/>
      <c r="Q447" s="4" t="n"/>
      <c r="R447" s="4" t="n"/>
      <c r="S447" s="4" t="n"/>
      <c r="T447" s="4" t="n"/>
      <c r="U447" s="4" t="n"/>
      <c r="V447" s="4" t="n"/>
      <c r="W447" s="4" t="n"/>
    </row>
    <row r="448" ht="15.75" customHeight="1" s="19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/>
      <c r="M448" s="4" t="n"/>
      <c r="N448" s="4" t="n"/>
      <c r="O448" s="4" t="n"/>
      <c r="P448" s="4" t="n"/>
      <c r="Q448" s="4" t="n"/>
      <c r="R448" s="4" t="n"/>
      <c r="S448" s="4" t="n"/>
      <c r="T448" s="4" t="n"/>
      <c r="U448" s="4" t="n"/>
      <c r="V448" s="4" t="n"/>
      <c r="W448" s="4" t="n"/>
    </row>
    <row r="449" ht="15.75" customHeight="1" s="19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/>
      <c r="M449" s="4" t="n"/>
      <c r="N449" s="4" t="n"/>
      <c r="O449" s="4" t="n"/>
      <c r="P449" s="4" t="n"/>
      <c r="Q449" s="4" t="n"/>
      <c r="R449" s="4" t="n"/>
      <c r="S449" s="4" t="n"/>
      <c r="T449" s="4" t="n"/>
      <c r="U449" s="4" t="n"/>
      <c r="V449" s="4" t="n"/>
      <c r="W449" s="4" t="n"/>
    </row>
    <row r="450" ht="15.75" customHeight="1" s="19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/>
      <c r="M450" s="4" t="n"/>
      <c r="N450" s="4" t="n"/>
      <c r="O450" s="4" t="n"/>
      <c r="P450" s="4" t="n"/>
      <c r="Q450" s="4" t="n"/>
      <c r="R450" s="4" t="n"/>
      <c r="S450" s="4" t="n"/>
      <c r="T450" s="4" t="n"/>
      <c r="U450" s="4" t="n"/>
      <c r="V450" s="4" t="n"/>
      <c r="W450" s="4" t="n"/>
    </row>
    <row r="451" ht="15.75" customHeight="1" s="19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/>
      <c r="M451" s="4" t="n"/>
      <c r="N451" s="4" t="n"/>
      <c r="O451" s="4" t="n"/>
      <c r="P451" s="4" t="n"/>
      <c r="Q451" s="4" t="n"/>
      <c r="R451" s="4" t="n"/>
      <c r="S451" s="4" t="n"/>
      <c r="T451" s="4" t="n"/>
      <c r="U451" s="4" t="n"/>
      <c r="V451" s="4" t="n"/>
      <c r="W451" s="4" t="n"/>
    </row>
    <row r="452" ht="15.75" customHeight="1" s="19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/>
      <c r="M452" s="4" t="n"/>
      <c r="N452" s="4" t="n"/>
      <c r="O452" s="4" t="n"/>
      <c r="P452" s="4" t="n"/>
      <c r="Q452" s="4" t="n"/>
      <c r="R452" s="4" t="n"/>
      <c r="S452" s="4" t="n"/>
      <c r="T452" s="4" t="n"/>
      <c r="U452" s="4" t="n"/>
      <c r="V452" s="4" t="n"/>
      <c r="W452" s="4" t="n"/>
    </row>
    <row r="453" ht="15.75" customHeight="1" s="19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/>
      <c r="M453" s="4" t="n"/>
      <c r="N453" s="4" t="n"/>
      <c r="O453" s="4" t="n"/>
      <c r="P453" s="4" t="n"/>
      <c r="Q453" s="4" t="n"/>
      <c r="R453" s="4" t="n"/>
      <c r="S453" s="4" t="n"/>
      <c r="T453" s="4" t="n"/>
      <c r="U453" s="4" t="n"/>
      <c r="V453" s="4" t="n"/>
      <c r="W453" s="4" t="n"/>
    </row>
    <row r="454" ht="15.75" customHeight="1" s="19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/>
      <c r="M454" s="4" t="n"/>
      <c r="N454" s="4" t="n"/>
      <c r="O454" s="4" t="n"/>
      <c r="P454" s="4" t="n"/>
      <c r="Q454" s="4" t="n"/>
      <c r="R454" s="4" t="n"/>
      <c r="S454" s="4" t="n"/>
      <c r="T454" s="4" t="n"/>
      <c r="U454" s="4" t="n"/>
      <c r="V454" s="4" t="n"/>
      <c r="W454" s="4" t="n"/>
    </row>
    <row r="455" ht="15.75" customHeight="1" s="19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/>
      <c r="M455" s="4" t="n"/>
      <c r="N455" s="4" t="n"/>
      <c r="O455" s="4" t="n"/>
      <c r="P455" s="4" t="n"/>
      <c r="Q455" s="4" t="n"/>
      <c r="R455" s="4" t="n"/>
      <c r="S455" s="4" t="n"/>
      <c r="T455" s="4" t="n"/>
      <c r="U455" s="4" t="n"/>
      <c r="V455" s="4" t="n"/>
      <c r="W455" s="4" t="n"/>
    </row>
    <row r="456" ht="15.75" customHeight="1" s="19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/>
      <c r="M456" s="4" t="n"/>
      <c r="N456" s="4" t="n"/>
      <c r="O456" s="4" t="n"/>
      <c r="P456" s="4" t="n"/>
      <c r="Q456" s="4" t="n"/>
      <c r="R456" s="4" t="n"/>
      <c r="S456" s="4" t="n"/>
      <c r="T456" s="4" t="n"/>
      <c r="U456" s="4" t="n"/>
      <c r="V456" s="4" t="n"/>
      <c r="W456" s="4" t="n"/>
    </row>
    <row r="457" ht="15.75" customHeight="1" s="19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/>
      <c r="M457" s="4" t="n"/>
      <c r="N457" s="4" t="n"/>
      <c r="O457" s="4" t="n"/>
      <c r="P457" s="4" t="n"/>
      <c r="Q457" s="4" t="n"/>
      <c r="R457" s="4" t="n"/>
      <c r="S457" s="4" t="n"/>
      <c r="T457" s="4" t="n"/>
      <c r="U457" s="4" t="n"/>
      <c r="V457" s="4" t="n"/>
      <c r="W457" s="4" t="n"/>
    </row>
    <row r="458" ht="15.75" customHeight="1" s="19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/>
      <c r="M458" s="4" t="n"/>
      <c r="N458" s="4" t="n"/>
      <c r="O458" s="4" t="n"/>
      <c r="P458" s="4" t="n"/>
      <c r="Q458" s="4" t="n"/>
      <c r="R458" s="4" t="n"/>
      <c r="S458" s="4" t="n"/>
      <c r="T458" s="4" t="n"/>
      <c r="U458" s="4" t="n"/>
      <c r="V458" s="4" t="n"/>
      <c r="W458" s="4" t="n"/>
    </row>
    <row r="459" ht="15.75" customHeight="1" s="19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/>
      <c r="M459" s="4" t="n"/>
      <c r="N459" s="4" t="n"/>
      <c r="O459" s="4" t="n"/>
      <c r="P459" s="4" t="n"/>
      <c r="Q459" s="4" t="n"/>
      <c r="R459" s="4" t="n"/>
      <c r="S459" s="4" t="n"/>
      <c r="T459" s="4" t="n"/>
      <c r="U459" s="4" t="n"/>
      <c r="V459" s="4" t="n"/>
      <c r="W459" s="4" t="n"/>
    </row>
    <row r="460" ht="15.75" customHeight="1" s="19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/>
      <c r="M460" s="4" t="n"/>
      <c r="N460" s="4" t="n"/>
      <c r="O460" s="4" t="n"/>
      <c r="P460" s="4" t="n"/>
      <c r="Q460" s="4" t="n"/>
      <c r="R460" s="4" t="n"/>
      <c r="S460" s="4" t="n"/>
      <c r="T460" s="4" t="n"/>
      <c r="U460" s="4" t="n"/>
      <c r="V460" s="4" t="n"/>
      <c r="W460" s="4" t="n"/>
    </row>
    <row r="461" ht="15.75" customHeight="1" s="19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/>
      <c r="M461" s="4" t="n"/>
      <c r="N461" s="4" t="n"/>
      <c r="O461" s="4" t="n"/>
      <c r="P461" s="4" t="n"/>
      <c r="Q461" s="4" t="n"/>
      <c r="R461" s="4" t="n"/>
      <c r="S461" s="4" t="n"/>
      <c r="T461" s="4" t="n"/>
      <c r="U461" s="4" t="n"/>
      <c r="V461" s="4" t="n"/>
      <c r="W461" s="4" t="n"/>
    </row>
    <row r="462" ht="15.75" customHeight="1" s="19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/>
      <c r="M462" s="4" t="n"/>
      <c r="N462" s="4" t="n"/>
      <c r="O462" s="4" t="n"/>
      <c r="P462" s="4" t="n"/>
      <c r="Q462" s="4" t="n"/>
      <c r="R462" s="4" t="n"/>
      <c r="S462" s="4" t="n"/>
      <c r="T462" s="4" t="n"/>
      <c r="U462" s="4" t="n"/>
      <c r="V462" s="4" t="n"/>
      <c r="W462" s="4" t="n"/>
    </row>
    <row r="463" ht="15.75" customHeight="1" s="19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/>
      <c r="M463" s="4" t="n"/>
      <c r="N463" s="4" t="n"/>
      <c r="O463" s="4" t="n"/>
      <c r="P463" s="4" t="n"/>
      <c r="Q463" s="4" t="n"/>
      <c r="R463" s="4" t="n"/>
      <c r="S463" s="4" t="n"/>
      <c r="T463" s="4" t="n"/>
      <c r="U463" s="4" t="n"/>
      <c r="V463" s="4" t="n"/>
      <c r="W463" s="4" t="n"/>
    </row>
    <row r="464" ht="15.75" customHeight="1" s="19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/>
      <c r="M464" s="4" t="n"/>
      <c r="N464" s="4" t="n"/>
      <c r="O464" s="4" t="n"/>
      <c r="P464" s="4" t="n"/>
      <c r="Q464" s="4" t="n"/>
      <c r="R464" s="4" t="n"/>
      <c r="S464" s="4" t="n"/>
      <c r="T464" s="4" t="n"/>
      <c r="U464" s="4" t="n"/>
      <c r="V464" s="4" t="n"/>
      <c r="W464" s="4" t="n"/>
    </row>
    <row r="465" ht="15.75" customHeight="1" s="19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/>
      <c r="M465" s="4" t="n"/>
      <c r="N465" s="4" t="n"/>
      <c r="O465" s="4" t="n"/>
      <c r="P465" s="4" t="n"/>
      <c r="Q465" s="4" t="n"/>
      <c r="R465" s="4" t="n"/>
      <c r="S465" s="4" t="n"/>
      <c r="T465" s="4" t="n"/>
      <c r="U465" s="4" t="n"/>
      <c r="V465" s="4" t="n"/>
      <c r="W465" s="4" t="n"/>
    </row>
    <row r="466" ht="15.75" customHeight="1" s="19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/>
      <c r="M466" s="4" t="n"/>
      <c r="N466" s="4" t="n"/>
      <c r="O466" s="4" t="n"/>
      <c r="P466" s="4" t="n"/>
      <c r="Q466" s="4" t="n"/>
      <c r="R466" s="4" t="n"/>
      <c r="S466" s="4" t="n"/>
      <c r="T466" s="4" t="n"/>
      <c r="U466" s="4" t="n"/>
      <c r="V466" s="4" t="n"/>
      <c r="W466" s="4" t="n"/>
    </row>
    <row r="467" ht="15.75" customHeight="1" s="19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/>
      <c r="M467" s="4" t="n"/>
      <c r="N467" s="4" t="n"/>
      <c r="O467" s="4" t="n"/>
      <c r="P467" s="4" t="n"/>
      <c r="Q467" s="4" t="n"/>
      <c r="R467" s="4" t="n"/>
      <c r="S467" s="4" t="n"/>
      <c r="T467" s="4" t="n"/>
      <c r="U467" s="4" t="n"/>
      <c r="V467" s="4" t="n"/>
      <c r="W467" s="4" t="n"/>
    </row>
    <row r="468" ht="15.75" customHeight="1" s="19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/>
      <c r="M468" s="4" t="n"/>
      <c r="N468" s="4" t="n"/>
      <c r="O468" s="4" t="n"/>
      <c r="P468" s="4" t="n"/>
      <c r="Q468" s="4" t="n"/>
      <c r="R468" s="4" t="n"/>
      <c r="S468" s="4" t="n"/>
      <c r="T468" s="4" t="n"/>
      <c r="U468" s="4" t="n"/>
      <c r="V468" s="4" t="n"/>
      <c r="W468" s="4" t="n"/>
    </row>
    <row r="469" ht="15.75" customHeight="1" s="19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/>
      <c r="M469" s="4" t="n"/>
      <c r="N469" s="4" t="n"/>
      <c r="O469" s="4" t="n"/>
      <c r="P469" s="4" t="n"/>
      <c r="Q469" s="4" t="n"/>
      <c r="R469" s="4" t="n"/>
      <c r="S469" s="4" t="n"/>
      <c r="T469" s="4" t="n"/>
      <c r="U469" s="4" t="n"/>
      <c r="V469" s="4" t="n"/>
      <c r="W469" s="4" t="n"/>
    </row>
    <row r="470" ht="15.75" customHeight="1" s="19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/>
      <c r="M470" s="4" t="n"/>
      <c r="N470" s="4" t="n"/>
      <c r="O470" s="4" t="n"/>
      <c r="P470" s="4" t="n"/>
      <c r="Q470" s="4" t="n"/>
      <c r="R470" s="4" t="n"/>
      <c r="S470" s="4" t="n"/>
      <c r="T470" s="4" t="n"/>
      <c r="U470" s="4" t="n"/>
      <c r="V470" s="4" t="n"/>
      <c r="W470" s="4" t="n"/>
    </row>
    <row r="471" ht="15.75" customHeight="1" s="19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/>
      <c r="M471" s="4" t="n"/>
      <c r="N471" s="4" t="n"/>
      <c r="O471" s="4" t="n"/>
      <c r="P471" s="4" t="n"/>
      <c r="Q471" s="4" t="n"/>
      <c r="R471" s="4" t="n"/>
      <c r="S471" s="4" t="n"/>
      <c r="T471" s="4" t="n"/>
      <c r="U471" s="4" t="n"/>
      <c r="V471" s="4" t="n"/>
      <c r="W471" s="4" t="n"/>
    </row>
    <row r="472" ht="15.75" customHeight="1" s="19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/>
      <c r="M472" s="4" t="n"/>
      <c r="N472" s="4" t="n"/>
      <c r="O472" s="4" t="n"/>
      <c r="P472" s="4" t="n"/>
      <c r="Q472" s="4" t="n"/>
      <c r="R472" s="4" t="n"/>
      <c r="S472" s="4" t="n"/>
      <c r="T472" s="4" t="n"/>
      <c r="U472" s="4" t="n"/>
      <c r="V472" s="4" t="n"/>
      <c r="W472" s="4" t="n"/>
    </row>
    <row r="473" ht="15.75" customHeight="1" s="19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/>
      <c r="M473" s="4" t="n"/>
      <c r="N473" s="4" t="n"/>
      <c r="O473" s="4" t="n"/>
      <c r="P473" s="4" t="n"/>
      <c r="Q473" s="4" t="n"/>
      <c r="R473" s="4" t="n"/>
      <c r="S473" s="4" t="n"/>
      <c r="T473" s="4" t="n"/>
      <c r="U473" s="4" t="n"/>
      <c r="V473" s="4" t="n"/>
      <c r="W473" s="4" t="n"/>
    </row>
    <row r="474" ht="15.75" customHeight="1" s="19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/>
      <c r="M474" s="4" t="n"/>
      <c r="N474" s="4" t="n"/>
      <c r="O474" s="4" t="n"/>
      <c r="P474" s="4" t="n"/>
      <c r="Q474" s="4" t="n"/>
      <c r="R474" s="4" t="n"/>
      <c r="S474" s="4" t="n"/>
      <c r="T474" s="4" t="n"/>
      <c r="U474" s="4" t="n"/>
      <c r="V474" s="4" t="n"/>
      <c r="W474" s="4" t="n"/>
    </row>
    <row r="475" ht="15.75" customHeight="1" s="19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/>
      <c r="M475" s="4" t="n"/>
      <c r="N475" s="4" t="n"/>
      <c r="O475" s="4" t="n"/>
      <c r="P475" s="4" t="n"/>
      <c r="Q475" s="4" t="n"/>
      <c r="R475" s="4" t="n"/>
      <c r="S475" s="4" t="n"/>
      <c r="T475" s="4" t="n"/>
      <c r="U475" s="4" t="n"/>
      <c r="V475" s="4" t="n"/>
      <c r="W475" s="4" t="n"/>
    </row>
    <row r="476" ht="15.75" customHeight="1" s="19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/>
      <c r="M476" s="4" t="n"/>
      <c r="N476" s="4" t="n"/>
      <c r="O476" s="4" t="n"/>
      <c r="P476" s="4" t="n"/>
      <c r="Q476" s="4" t="n"/>
      <c r="R476" s="4" t="n"/>
      <c r="S476" s="4" t="n"/>
      <c r="T476" s="4" t="n"/>
      <c r="U476" s="4" t="n"/>
      <c r="V476" s="4" t="n"/>
      <c r="W476" s="4" t="n"/>
    </row>
    <row r="477" ht="15.75" customHeight="1" s="19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/>
      <c r="M477" s="4" t="n"/>
      <c r="N477" s="4" t="n"/>
      <c r="O477" s="4" t="n"/>
      <c r="P477" s="4" t="n"/>
      <c r="Q477" s="4" t="n"/>
      <c r="R477" s="4" t="n"/>
      <c r="S477" s="4" t="n"/>
      <c r="T477" s="4" t="n"/>
      <c r="U477" s="4" t="n"/>
      <c r="V477" s="4" t="n"/>
      <c r="W477" s="4" t="n"/>
    </row>
    <row r="478" ht="15.75" customHeight="1" s="19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/>
      <c r="M478" s="4" t="n"/>
      <c r="N478" s="4" t="n"/>
      <c r="O478" s="4" t="n"/>
      <c r="P478" s="4" t="n"/>
      <c r="Q478" s="4" t="n"/>
      <c r="R478" s="4" t="n"/>
      <c r="S478" s="4" t="n"/>
      <c r="T478" s="4" t="n"/>
      <c r="U478" s="4" t="n"/>
      <c r="V478" s="4" t="n"/>
      <c r="W478" s="4" t="n"/>
    </row>
    <row r="479" ht="15.75" customHeight="1" s="19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/>
      <c r="M479" s="4" t="n"/>
      <c r="N479" s="4" t="n"/>
      <c r="O479" s="4" t="n"/>
      <c r="P479" s="4" t="n"/>
      <c r="Q479" s="4" t="n"/>
      <c r="R479" s="4" t="n"/>
      <c r="S479" s="4" t="n"/>
      <c r="T479" s="4" t="n"/>
      <c r="U479" s="4" t="n"/>
      <c r="V479" s="4" t="n"/>
      <c r="W479" s="4" t="n"/>
    </row>
    <row r="480" ht="15.75" customHeight="1" s="19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/>
      <c r="M480" s="4" t="n"/>
      <c r="N480" s="4" t="n"/>
      <c r="O480" s="4" t="n"/>
      <c r="P480" s="4" t="n"/>
      <c r="Q480" s="4" t="n"/>
      <c r="R480" s="4" t="n"/>
      <c r="S480" s="4" t="n"/>
      <c r="T480" s="4" t="n"/>
      <c r="U480" s="4" t="n"/>
      <c r="V480" s="4" t="n"/>
      <c r="W480" s="4" t="n"/>
    </row>
    <row r="481" ht="15.75" customHeight="1" s="19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/>
      <c r="M481" s="4" t="n"/>
      <c r="N481" s="4" t="n"/>
      <c r="O481" s="4" t="n"/>
      <c r="P481" s="4" t="n"/>
      <c r="Q481" s="4" t="n"/>
      <c r="R481" s="4" t="n"/>
      <c r="S481" s="4" t="n"/>
      <c r="T481" s="4" t="n"/>
      <c r="U481" s="4" t="n"/>
      <c r="V481" s="4" t="n"/>
      <c r="W481" s="4" t="n"/>
    </row>
    <row r="482" ht="15.75" customHeight="1" s="19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/>
      <c r="M482" s="4" t="n"/>
      <c r="N482" s="4" t="n"/>
      <c r="O482" s="4" t="n"/>
      <c r="P482" s="4" t="n"/>
      <c r="Q482" s="4" t="n"/>
      <c r="R482" s="4" t="n"/>
      <c r="S482" s="4" t="n"/>
      <c r="T482" s="4" t="n"/>
      <c r="U482" s="4" t="n"/>
      <c r="V482" s="4" t="n"/>
      <c r="W482" s="4" t="n"/>
    </row>
    <row r="483" ht="15.75" customHeight="1" s="19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/>
      <c r="M483" s="4" t="n"/>
      <c r="N483" s="4" t="n"/>
      <c r="O483" s="4" t="n"/>
      <c r="P483" s="4" t="n"/>
      <c r="Q483" s="4" t="n"/>
      <c r="R483" s="4" t="n"/>
      <c r="S483" s="4" t="n"/>
      <c r="T483" s="4" t="n"/>
      <c r="U483" s="4" t="n"/>
      <c r="V483" s="4" t="n"/>
      <c r="W483" s="4" t="n"/>
    </row>
    <row r="484" ht="15.75" customHeight="1" s="19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/>
      <c r="M484" s="4" t="n"/>
      <c r="N484" s="4" t="n"/>
      <c r="O484" s="4" t="n"/>
      <c r="P484" s="4" t="n"/>
      <c r="Q484" s="4" t="n"/>
      <c r="R484" s="4" t="n"/>
      <c r="S484" s="4" t="n"/>
      <c r="T484" s="4" t="n"/>
      <c r="U484" s="4" t="n"/>
      <c r="V484" s="4" t="n"/>
      <c r="W484" s="4" t="n"/>
    </row>
    <row r="485" ht="15.75" customHeight="1" s="19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/>
      <c r="M485" s="4" t="n"/>
      <c r="N485" s="4" t="n"/>
      <c r="O485" s="4" t="n"/>
      <c r="P485" s="4" t="n"/>
      <c r="Q485" s="4" t="n"/>
      <c r="R485" s="4" t="n"/>
      <c r="S485" s="4" t="n"/>
      <c r="T485" s="4" t="n"/>
      <c r="U485" s="4" t="n"/>
      <c r="V485" s="4" t="n"/>
      <c r="W485" s="4" t="n"/>
    </row>
    <row r="486" ht="15.75" customHeight="1" s="19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/>
      <c r="M486" s="4" t="n"/>
      <c r="N486" s="4" t="n"/>
      <c r="O486" s="4" t="n"/>
      <c r="P486" s="4" t="n"/>
      <c r="Q486" s="4" t="n"/>
      <c r="R486" s="4" t="n"/>
      <c r="S486" s="4" t="n"/>
      <c r="T486" s="4" t="n"/>
      <c r="U486" s="4" t="n"/>
      <c r="V486" s="4" t="n"/>
      <c r="W486" s="4" t="n"/>
    </row>
    <row r="487" ht="15.75" customHeight="1" s="19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/>
      <c r="M487" s="4" t="n"/>
      <c r="N487" s="4" t="n"/>
      <c r="O487" s="4" t="n"/>
      <c r="P487" s="4" t="n"/>
      <c r="Q487" s="4" t="n"/>
      <c r="R487" s="4" t="n"/>
      <c r="S487" s="4" t="n"/>
      <c r="T487" s="4" t="n"/>
      <c r="U487" s="4" t="n"/>
      <c r="V487" s="4" t="n"/>
      <c r="W487" s="4" t="n"/>
    </row>
    <row r="488" ht="15.75" customHeight="1" s="19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/>
      <c r="M488" s="4" t="n"/>
      <c r="N488" s="4" t="n"/>
      <c r="O488" s="4" t="n"/>
      <c r="P488" s="4" t="n"/>
      <c r="Q488" s="4" t="n"/>
      <c r="R488" s="4" t="n"/>
      <c r="S488" s="4" t="n"/>
      <c r="T488" s="4" t="n"/>
      <c r="U488" s="4" t="n"/>
      <c r="V488" s="4" t="n"/>
      <c r="W488" s="4" t="n"/>
    </row>
    <row r="489" ht="15.75" customHeight="1" s="19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/>
      <c r="M489" s="4" t="n"/>
      <c r="N489" s="4" t="n"/>
      <c r="O489" s="4" t="n"/>
      <c r="P489" s="4" t="n"/>
      <c r="Q489" s="4" t="n"/>
      <c r="R489" s="4" t="n"/>
      <c r="S489" s="4" t="n"/>
      <c r="T489" s="4" t="n"/>
      <c r="U489" s="4" t="n"/>
      <c r="V489" s="4" t="n"/>
      <c r="W489" s="4" t="n"/>
    </row>
    <row r="490" ht="15.75" customHeight="1" s="19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/>
      <c r="M490" s="4" t="n"/>
      <c r="N490" s="4" t="n"/>
      <c r="O490" s="4" t="n"/>
      <c r="P490" s="4" t="n"/>
      <c r="Q490" s="4" t="n"/>
      <c r="R490" s="4" t="n"/>
      <c r="S490" s="4" t="n"/>
      <c r="T490" s="4" t="n"/>
      <c r="U490" s="4" t="n"/>
      <c r="V490" s="4" t="n"/>
      <c r="W490" s="4" t="n"/>
    </row>
    <row r="491" ht="15.75" customHeight="1" s="19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/>
      <c r="M491" s="4" t="n"/>
      <c r="N491" s="4" t="n"/>
      <c r="O491" s="4" t="n"/>
      <c r="P491" s="4" t="n"/>
      <c r="Q491" s="4" t="n"/>
      <c r="R491" s="4" t="n"/>
      <c r="S491" s="4" t="n"/>
      <c r="T491" s="4" t="n"/>
      <c r="U491" s="4" t="n"/>
      <c r="V491" s="4" t="n"/>
      <c r="W491" s="4" t="n"/>
    </row>
    <row r="492" ht="15.75" customHeight="1" s="19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/>
      <c r="M492" s="4" t="n"/>
      <c r="N492" s="4" t="n"/>
      <c r="O492" s="4" t="n"/>
      <c r="P492" s="4" t="n"/>
      <c r="Q492" s="4" t="n"/>
      <c r="R492" s="4" t="n"/>
      <c r="S492" s="4" t="n"/>
      <c r="T492" s="4" t="n"/>
      <c r="U492" s="4" t="n"/>
      <c r="V492" s="4" t="n"/>
      <c r="W492" s="4" t="n"/>
    </row>
    <row r="493" ht="15.75" customHeight="1" s="19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/>
      <c r="M493" s="4" t="n"/>
      <c r="N493" s="4" t="n"/>
      <c r="O493" s="4" t="n"/>
      <c r="P493" s="4" t="n"/>
      <c r="Q493" s="4" t="n"/>
      <c r="R493" s="4" t="n"/>
      <c r="S493" s="4" t="n"/>
      <c r="T493" s="4" t="n"/>
      <c r="U493" s="4" t="n"/>
      <c r="V493" s="4" t="n"/>
      <c r="W493" s="4" t="n"/>
    </row>
    <row r="494" ht="15.75" customHeight="1" s="19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/>
      <c r="M494" s="4" t="n"/>
      <c r="N494" s="4" t="n"/>
      <c r="O494" s="4" t="n"/>
      <c r="P494" s="4" t="n"/>
      <c r="Q494" s="4" t="n"/>
      <c r="R494" s="4" t="n"/>
      <c r="S494" s="4" t="n"/>
      <c r="T494" s="4" t="n"/>
      <c r="U494" s="4" t="n"/>
      <c r="V494" s="4" t="n"/>
      <c r="W494" s="4" t="n"/>
    </row>
    <row r="495" ht="15.75" customHeight="1" s="19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/>
      <c r="M495" s="4" t="n"/>
      <c r="N495" s="4" t="n"/>
      <c r="O495" s="4" t="n"/>
      <c r="P495" s="4" t="n"/>
      <c r="Q495" s="4" t="n"/>
      <c r="R495" s="4" t="n"/>
      <c r="S495" s="4" t="n"/>
      <c r="T495" s="4" t="n"/>
      <c r="U495" s="4" t="n"/>
      <c r="V495" s="4" t="n"/>
      <c r="W495" s="4" t="n"/>
    </row>
    <row r="496" ht="15.75" customHeight="1" s="19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/>
      <c r="M496" s="4" t="n"/>
      <c r="N496" s="4" t="n"/>
      <c r="O496" s="4" t="n"/>
      <c r="P496" s="4" t="n"/>
      <c r="Q496" s="4" t="n"/>
      <c r="R496" s="4" t="n"/>
      <c r="S496" s="4" t="n"/>
      <c r="T496" s="4" t="n"/>
      <c r="U496" s="4" t="n"/>
      <c r="V496" s="4" t="n"/>
      <c r="W496" s="4" t="n"/>
    </row>
    <row r="497" ht="15.75" customHeight="1" s="19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/>
      <c r="M497" s="4" t="n"/>
      <c r="N497" s="4" t="n"/>
      <c r="O497" s="4" t="n"/>
      <c r="P497" s="4" t="n"/>
      <c r="Q497" s="4" t="n"/>
      <c r="R497" s="4" t="n"/>
      <c r="S497" s="4" t="n"/>
      <c r="T497" s="4" t="n"/>
      <c r="U497" s="4" t="n"/>
      <c r="V497" s="4" t="n"/>
      <c r="W497" s="4" t="n"/>
    </row>
    <row r="498" ht="15.75" customHeight="1" s="19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/>
      <c r="M498" s="4" t="n"/>
      <c r="N498" s="4" t="n"/>
      <c r="O498" s="4" t="n"/>
      <c r="P498" s="4" t="n"/>
      <c r="Q498" s="4" t="n"/>
      <c r="R498" s="4" t="n"/>
      <c r="S498" s="4" t="n"/>
      <c r="T498" s="4" t="n"/>
      <c r="U498" s="4" t="n"/>
      <c r="V498" s="4" t="n"/>
      <c r="W498" s="4" t="n"/>
    </row>
    <row r="499" ht="15.75" customHeight="1" s="19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/>
      <c r="M499" s="4" t="n"/>
      <c r="N499" s="4" t="n"/>
      <c r="O499" s="4" t="n"/>
      <c r="P499" s="4" t="n"/>
      <c r="Q499" s="4" t="n"/>
      <c r="R499" s="4" t="n"/>
      <c r="S499" s="4" t="n"/>
      <c r="T499" s="4" t="n"/>
      <c r="U499" s="4" t="n"/>
      <c r="V499" s="4" t="n"/>
      <c r="W499" s="4" t="n"/>
    </row>
    <row r="500" ht="15.75" customHeight="1" s="19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/>
      <c r="M500" s="4" t="n"/>
      <c r="N500" s="4" t="n"/>
      <c r="O500" s="4" t="n"/>
      <c r="P500" s="4" t="n"/>
      <c r="Q500" s="4" t="n"/>
      <c r="R500" s="4" t="n"/>
      <c r="S500" s="4" t="n"/>
      <c r="T500" s="4" t="n"/>
      <c r="U500" s="4" t="n"/>
      <c r="V500" s="4" t="n"/>
      <c r="W500" s="4" t="n"/>
    </row>
    <row r="501" ht="15.75" customHeight="1" s="19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/>
      <c r="M501" s="4" t="n"/>
      <c r="N501" s="4" t="n"/>
      <c r="O501" s="4" t="n"/>
      <c r="P501" s="4" t="n"/>
      <c r="Q501" s="4" t="n"/>
      <c r="R501" s="4" t="n"/>
      <c r="S501" s="4" t="n"/>
      <c r="T501" s="4" t="n"/>
      <c r="U501" s="4" t="n"/>
      <c r="V501" s="4" t="n"/>
      <c r="W501" s="4" t="n"/>
    </row>
    <row r="502" ht="15.75" customHeight="1" s="19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/>
      <c r="M502" s="4" t="n"/>
      <c r="N502" s="4" t="n"/>
      <c r="O502" s="4" t="n"/>
      <c r="P502" s="4" t="n"/>
      <c r="Q502" s="4" t="n"/>
      <c r="R502" s="4" t="n"/>
      <c r="S502" s="4" t="n"/>
      <c r="T502" s="4" t="n"/>
      <c r="U502" s="4" t="n"/>
      <c r="V502" s="4" t="n"/>
      <c r="W502" s="4" t="n"/>
    </row>
    <row r="503" ht="15.75" customHeight="1" s="19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/>
      <c r="M503" s="4" t="n"/>
      <c r="N503" s="4" t="n"/>
      <c r="O503" s="4" t="n"/>
      <c r="P503" s="4" t="n"/>
      <c r="Q503" s="4" t="n"/>
      <c r="R503" s="4" t="n"/>
      <c r="S503" s="4" t="n"/>
      <c r="T503" s="4" t="n"/>
      <c r="U503" s="4" t="n"/>
      <c r="V503" s="4" t="n"/>
      <c r="W503" s="4" t="n"/>
    </row>
    <row r="504" ht="15.75" customHeight="1" s="19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/>
      <c r="M504" s="4" t="n"/>
      <c r="N504" s="4" t="n"/>
      <c r="O504" s="4" t="n"/>
      <c r="P504" s="4" t="n"/>
      <c r="Q504" s="4" t="n"/>
      <c r="R504" s="4" t="n"/>
      <c r="S504" s="4" t="n"/>
      <c r="T504" s="4" t="n"/>
      <c r="U504" s="4" t="n"/>
      <c r="V504" s="4" t="n"/>
      <c r="W504" s="4" t="n"/>
    </row>
    <row r="505" ht="15.75" customHeight="1" s="19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/>
      <c r="M505" s="4" t="n"/>
      <c r="N505" s="4" t="n"/>
      <c r="O505" s="4" t="n"/>
      <c r="P505" s="4" t="n"/>
      <c r="Q505" s="4" t="n"/>
      <c r="R505" s="4" t="n"/>
      <c r="S505" s="4" t="n"/>
      <c r="T505" s="4" t="n"/>
      <c r="U505" s="4" t="n"/>
      <c r="V505" s="4" t="n"/>
      <c r="W505" s="4" t="n"/>
    </row>
    <row r="506" ht="15.75" customHeight="1" s="19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/>
      <c r="M506" s="4" t="n"/>
      <c r="N506" s="4" t="n"/>
      <c r="O506" s="4" t="n"/>
      <c r="P506" s="4" t="n"/>
      <c r="Q506" s="4" t="n"/>
      <c r="R506" s="4" t="n"/>
      <c r="S506" s="4" t="n"/>
      <c r="T506" s="4" t="n"/>
      <c r="U506" s="4" t="n"/>
      <c r="V506" s="4" t="n"/>
      <c r="W506" s="4" t="n"/>
    </row>
    <row r="507" ht="15.75" customHeight="1" s="19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/>
      <c r="M507" s="4" t="n"/>
      <c r="N507" s="4" t="n"/>
      <c r="O507" s="4" t="n"/>
      <c r="P507" s="4" t="n"/>
      <c r="Q507" s="4" t="n"/>
      <c r="R507" s="4" t="n"/>
      <c r="S507" s="4" t="n"/>
      <c r="T507" s="4" t="n"/>
      <c r="U507" s="4" t="n"/>
      <c r="V507" s="4" t="n"/>
      <c r="W507" s="4" t="n"/>
    </row>
    <row r="508" ht="15.75" customHeight="1" s="19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/>
      <c r="M508" s="4" t="n"/>
      <c r="N508" s="4" t="n"/>
      <c r="O508" s="4" t="n"/>
      <c r="P508" s="4" t="n"/>
      <c r="Q508" s="4" t="n"/>
      <c r="R508" s="4" t="n"/>
      <c r="S508" s="4" t="n"/>
      <c r="T508" s="4" t="n"/>
      <c r="U508" s="4" t="n"/>
      <c r="V508" s="4" t="n"/>
      <c r="W508" s="4" t="n"/>
    </row>
    <row r="509" ht="15.75" customHeight="1" s="19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/>
      <c r="M509" s="4" t="n"/>
      <c r="N509" s="4" t="n"/>
      <c r="O509" s="4" t="n"/>
      <c r="P509" s="4" t="n"/>
      <c r="Q509" s="4" t="n"/>
      <c r="R509" s="4" t="n"/>
      <c r="S509" s="4" t="n"/>
      <c r="T509" s="4" t="n"/>
      <c r="U509" s="4" t="n"/>
      <c r="V509" s="4" t="n"/>
      <c r="W509" s="4" t="n"/>
    </row>
    <row r="510" ht="15.75" customHeight="1" s="19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/>
      <c r="M510" s="4" t="n"/>
      <c r="N510" s="4" t="n"/>
      <c r="O510" s="4" t="n"/>
      <c r="P510" s="4" t="n"/>
      <c r="Q510" s="4" t="n"/>
      <c r="R510" s="4" t="n"/>
      <c r="S510" s="4" t="n"/>
      <c r="T510" s="4" t="n"/>
      <c r="U510" s="4" t="n"/>
      <c r="V510" s="4" t="n"/>
      <c r="W510" s="4" t="n"/>
    </row>
    <row r="511" ht="15.75" customHeight="1" s="19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/>
      <c r="M511" s="4" t="n"/>
      <c r="N511" s="4" t="n"/>
      <c r="O511" s="4" t="n"/>
      <c r="P511" s="4" t="n"/>
      <c r="Q511" s="4" t="n"/>
      <c r="R511" s="4" t="n"/>
      <c r="S511" s="4" t="n"/>
      <c r="T511" s="4" t="n"/>
      <c r="U511" s="4" t="n"/>
      <c r="V511" s="4" t="n"/>
      <c r="W511" s="4" t="n"/>
    </row>
    <row r="512" ht="15.75" customHeight="1" s="19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/>
      <c r="M512" s="4" t="n"/>
      <c r="N512" s="4" t="n"/>
      <c r="O512" s="4" t="n"/>
      <c r="P512" s="4" t="n"/>
      <c r="Q512" s="4" t="n"/>
      <c r="R512" s="4" t="n"/>
      <c r="S512" s="4" t="n"/>
      <c r="T512" s="4" t="n"/>
      <c r="U512" s="4" t="n"/>
      <c r="V512" s="4" t="n"/>
      <c r="W512" s="4" t="n"/>
    </row>
    <row r="513" ht="15.75" customHeight="1" s="19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/>
      <c r="M513" s="4" t="n"/>
      <c r="N513" s="4" t="n"/>
      <c r="O513" s="4" t="n"/>
      <c r="P513" s="4" t="n"/>
      <c r="Q513" s="4" t="n"/>
      <c r="R513" s="4" t="n"/>
      <c r="S513" s="4" t="n"/>
      <c r="T513" s="4" t="n"/>
      <c r="U513" s="4" t="n"/>
      <c r="V513" s="4" t="n"/>
      <c r="W513" s="4" t="n"/>
    </row>
    <row r="514" ht="15.75" customHeight="1" s="19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/>
      <c r="M514" s="4" t="n"/>
      <c r="N514" s="4" t="n"/>
      <c r="O514" s="4" t="n"/>
      <c r="P514" s="4" t="n"/>
      <c r="Q514" s="4" t="n"/>
      <c r="R514" s="4" t="n"/>
      <c r="S514" s="4" t="n"/>
      <c r="T514" s="4" t="n"/>
      <c r="U514" s="4" t="n"/>
      <c r="V514" s="4" t="n"/>
      <c r="W514" s="4" t="n"/>
    </row>
    <row r="515" ht="15.75" customHeight="1" s="19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/>
      <c r="M515" s="4" t="n"/>
      <c r="N515" s="4" t="n"/>
      <c r="O515" s="4" t="n"/>
      <c r="P515" s="4" t="n"/>
      <c r="Q515" s="4" t="n"/>
      <c r="R515" s="4" t="n"/>
      <c r="S515" s="4" t="n"/>
      <c r="T515" s="4" t="n"/>
      <c r="U515" s="4" t="n"/>
      <c r="V515" s="4" t="n"/>
      <c r="W515" s="4" t="n"/>
    </row>
    <row r="516" ht="15.75" customHeight="1" s="19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/>
      <c r="M516" s="4" t="n"/>
      <c r="N516" s="4" t="n"/>
      <c r="O516" s="4" t="n"/>
      <c r="P516" s="4" t="n"/>
      <c r="Q516" s="4" t="n"/>
      <c r="R516" s="4" t="n"/>
      <c r="S516" s="4" t="n"/>
      <c r="T516" s="4" t="n"/>
      <c r="U516" s="4" t="n"/>
      <c r="V516" s="4" t="n"/>
      <c r="W516" s="4" t="n"/>
    </row>
    <row r="517" ht="15.75" customHeight="1" s="19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/>
      <c r="M517" s="4" t="n"/>
      <c r="N517" s="4" t="n"/>
      <c r="O517" s="4" t="n"/>
      <c r="P517" s="4" t="n"/>
      <c r="Q517" s="4" t="n"/>
      <c r="R517" s="4" t="n"/>
      <c r="S517" s="4" t="n"/>
      <c r="T517" s="4" t="n"/>
      <c r="U517" s="4" t="n"/>
      <c r="V517" s="4" t="n"/>
      <c r="W517" s="4" t="n"/>
    </row>
    <row r="518" ht="15.75" customHeight="1" s="19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/>
      <c r="M518" s="4" t="n"/>
      <c r="N518" s="4" t="n"/>
      <c r="O518" s="4" t="n"/>
      <c r="P518" s="4" t="n"/>
      <c r="Q518" s="4" t="n"/>
      <c r="R518" s="4" t="n"/>
      <c r="S518" s="4" t="n"/>
      <c r="T518" s="4" t="n"/>
      <c r="U518" s="4" t="n"/>
      <c r="V518" s="4" t="n"/>
      <c r="W518" s="4" t="n"/>
    </row>
    <row r="519" ht="15.75" customHeight="1" s="19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/>
      <c r="M519" s="4" t="n"/>
      <c r="N519" s="4" t="n"/>
      <c r="O519" s="4" t="n"/>
      <c r="P519" s="4" t="n"/>
      <c r="Q519" s="4" t="n"/>
      <c r="R519" s="4" t="n"/>
      <c r="S519" s="4" t="n"/>
      <c r="T519" s="4" t="n"/>
      <c r="U519" s="4" t="n"/>
      <c r="V519" s="4" t="n"/>
      <c r="W519" s="4" t="n"/>
    </row>
    <row r="520" ht="15.75" customHeight="1" s="19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/>
      <c r="M520" s="4" t="n"/>
      <c r="N520" s="4" t="n"/>
      <c r="O520" s="4" t="n"/>
      <c r="P520" s="4" t="n"/>
      <c r="Q520" s="4" t="n"/>
      <c r="R520" s="4" t="n"/>
      <c r="S520" s="4" t="n"/>
      <c r="T520" s="4" t="n"/>
      <c r="U520" s="4" t="n"/>
      <c r="V520" s="4" t="n"/>
      <c r="W520" s="4" t="n"/>
    </row>
    <row r="521" ht="15.75" customHeight="1" s="19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/>
      <c r="M521" s="4" t="n"/>
      <c r="N521" s="4" t="n"/>
      <c r="O521" s="4" t="n"/>
      <c r="P521" s="4" t="n"/>
      <c r="Q521" s="4" t="n"/>
      <c r="R521" s="4" t="n"/>
      <c r="S521" s="4" t="n"/>
      <c r="T521" s="4" t="n"/>
      <c r="U521" s="4" t="n"/>
      <c r="V521" s="4" t="n"/>
      <c r="W521" s="4" t="n"/>
    </row>
    <row r="522" ht="15.75" customHeight="1" s="19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/>
      <c r="M522" s="4" t="n"/>
      <c r="N522" s="4" t="n"/>
      <c r="O522" s="4" t="n"/>
      <c r="P522" s="4" t="n"/>
      <c r="Q522" s="4" t="n"/>
      <c r="R522" s="4" t="n"/>
      <c r="S522" s="4" t="n"/>
      <c r="T522" s="4" t="n"/>
      <c r="U522" s="4" t="n"/>
      <c r="V522" s="4" t="n"/>
      <c r="W522" s="4" t="n"/>
    </row>
    <row r="523" ht="15.75" customHeight="1" s="19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/>
      <c r="M523" s="4" t="n"/>
      <c r="N523" s="4" t="n"/>
      <c r="O523" s="4" t="n"/>
      <c r="P523" s="4" t="n"/>
      <c r="Q523" s="4" t="n"/>
      <c r="R523" s="4" t="n"/>
      <c r="S523" s="4" t="n"/>
      <c r="T523" s="4" t="n"/>
      <c r="U523" s="4" t="n"/>
      <c r="V523" s="4" t="n"/>
      <c r="W523" s="4" t="n"/>
    </row>
    <row r="524" ht="15.75" customHeight="1" s="19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/>
      <c r="M524" s="4" t="n"/>
      <c r="N524" s="4" t="n"/>
      <c r="O524" s="4" t="n"/>
      <c r="P524" s="4" t="n"/>
      <c r="Q524" s="4" t="n"/>
      <c r="R524" s="4" t="n"/>
      <c r="S524" s="4" t="n"/>
      <c r="T524" s="4" t="n"/>
      <c r="U524" s="4" t="n"/>
      <c r="V524" s="4" t="n"/>
      <c r="W524" s="4" t="n"/>
    </row>
    <row r="525" ht="15.75" customHeight="1" s="19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/>
      <c r="M525" s="4" t="n"/>
      <c r="N525" s="4" t="n"/>
      <c r="O525" s="4" t="n"/>
      <c r="P525" s="4" t="n"/>
      <c r="Q525" s="4" t="n"/>
      <c r="R525" s="4" t="n"/>
      <c r="S525" s="4" t="n"/>
      <c r="T525" s="4" t="n"/>
      <c r="U525" s="4" t="n"/>
      <c r="V525" s="4" t="n"/>
      <c r="W525" s="4" t="n"/>
    </row>
    <row r="526" ht="15.75" customHeight="1" s="19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/>
      <c r="M526" s="4" t="n"/>
      <c r="N526" s="4" t="n"/>
      <c r="O526" s="4" t="n"/>
      <c r="P526" s="4" t="n"/>
      <c r="Q526" s="4" t="n"/>
      <c r="R526" s="4" t="n"/>
      <c r="S526" s="4" t="n"/>
      <c r="T526" s="4" t="n"/>
      <c r="U526" s="4" t="n"/>
      <c r="V526" s="4" t="n"/>
      <c r="W526" s="4" t="n"/>
    </row>
    <row r="527" ht="15.75" customHeight="1" s="19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/>
      <c r="M527" s="4" t="n"/>
      <c r="N527" s="4" t="n"/>
      <c r="O527" s="4" t="n"/>
      <c r="P527" s="4" t="n"/>
      <c r="Q527" s="4" t="n"/>
      <c r="R527" s="4" t="n"/>
      <c r="S527" s="4" t="n"/>
      <c r="T527" s="4" t="n"/>
      <c r="U527" s="4" t="n"/>
      <c r="V527" s="4" t="n"/>
      <c r="W527" s="4" t="n"/>
    </row>
    <row r="528" ht="15.75" customHeight="1" s="19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/>
      <c r="M528" s="4" t="n"/>
      <c r="N528" s="4" t="n"/>
      <c r="O528" s="4" t="n"/>
      <c r="P528" s="4" t="n"/>
      <c r="Q528" s="4" t="n"/>
      <c r="R528" s="4" t="n"/>
      <c r="S528" s="4" t="n"/>
      <c r="T528" s="4" t="n"/>
      <c r="U528" s="4" t="n"/>
      <c r="V528" s="4" t="n"/>
      <c r="W528" s="4" t="n"/>
    </row>
    <row r="529" ht="15.75" customHeight="1" s="19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/>
      <c r="M529" s="4" t="n"/>
      <c r="N529" s="4" t="n"/>
      <c r="O529" s="4" t="n"/>
      <c r="P529" s="4" t="n"/>
      <c r="Q529" s="4" t="n"/>
      <c r="R529" s="4" t="n"/>
      <c r="S529" s="4" t="n"/>
      <c r="T529" s="4" t="n"/>
      <c r="U529" s="4" t="n"/>
      <c r="V529" s="4" t="n"/>
      <c r="W529" s="4" t="n"/>
    </row>
    <row r="530" ht="15.75" customHeight="1" s="19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/>
      <c r="M530" s="4" t="n"/>
      <c r="N530" s="4" t="n"/>
      <c r="O530" s="4" t="n"/>
      <c r="P530" s="4" t="n"/>
      <c r="Q530" s="4" t="n"/>
      <c r="R530" s="4" t="n"/>
      <c r="S530" s="4" t="n"/>
      <c r="T530" s="4" t="n"/>
      <c r="U530" s="4" t="n"/>
      <c r="V530" s="4" t="n"/>
      <c r="W530" s="4" t="n"/>
    </row>
    <row r="531" ht="15.75" customHeight="1" s="19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/>
      <c r="M531" s="4" t="n"/>
      <c r="N531" s="4" t="n"/>
      <c r="O531" s="4" t="n"/>
      <c r="P531" s="4" t="n"/>
      <c r="Q531" s="4" t="n"/>
      <c r="R531" s="4" t="n"/>
      <c r="S531" s="4" t="n"/>
      <c r="T531" s="4" t="n"/>
      <c r="U531" s="4" t="n"/>
      <c r="V531" s="4" t="n"/>
      <c r="W531" s="4" t="n"/>
    </row>
    <row r="532" ht="15.75" customHeight="1" s="19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/>
      <c r="M532" s="4" t="n"/>
      <c r="N532" s="4" t="n"/>
      <c r="O532" s="4" t="n"/>
      <c r="P532" s="4" t="n"/>
      <c r="Q532" s="4" t="n"/>
      <c r="R532" s="4" t="n"/>
      <c r="S532" s="4" t="n"/>
      <c r="T532" s="4" t="n"/>
      <c r="U532" s="4" t="n"/>
      <c r="V532" s="4" t="n"/>
      <c r="W532" s="4" t="n"/>
    </row>
    <row r="533" ht="15.75" customHeight="1" s="19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/>
      <c r="M533" s="4" t="n"/>
      <c r="N533" s="4" t="n"/>
      <c r="O533" s="4" t="n"/>
      <c r="P533" s="4" t="n"/>
      <c r="Q533" s="4" t="n"/>
      <c r="R533" s="4" t="n"/>
      <c r="S533" s="4" t="n"/>
      <c r="T533" s="4" t="n"/>
      <c r="U533" s="4" t="n"/>
      <c r="V533" s="4" t="n"/>
      <c r="W533" s="4" t="n"/>
    </row>
    <row r="534" ht="15.75" customHeight="1" s="19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/>
      <c r="M534" s="4" t="n"/>
      <c r="N534" s="4" t="n"/>
      <c r="O534" s="4" t="n"/>
      <c r="P534" s="4" t="n"/>
      <c r="Q534" s="4" t="n"/>
      <c r="R534" s="4" t="n"/>
      <c r="S534" s="4" t="n"/>
      <c r="T534" s="4" t="n"/>
      <c r="U534" s="4" t="n"/>
      <c r="V534" s="4" t="n"/>
      <c r="W534" s="4" t="n"/>
    </row>
    <row r="535" ht="15.75" customHeight="1" s="19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/>
      <c r="M535" s="4" t="n"/>
      <c r="N535" s="4" t="n"/>
      <c r="O535" s="4" t="n"/>
      <c r="P535" s="4" t="n"/>
      <c r="Q535" s="4" t="n"/>
      <c r="R535" s="4" t="n"/>
      <c r="S535" s="4" t="n"/>
      <c r="T535" s="4" t="n"/>
      <c r="U535" s="4" t="n"/>
      <c r="V535" s="4" t="n"/>
      <c r="W535" s="4" t="n"/>
    </row>
    <row r="536" ht="15.75" customHeight="1" s="19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/>
      <c r="M536" s="4" t="n"/>
      <c r="N536" s="4" t="n"/>
      <c r="O536" s="4" t="n"/>
      <c r="P536" s="4" t="n"/>
      <c r="Q536" s="4" t="n"/>
      <c r="R536" s="4" t="n"/>
      <c r="S536" s="4" t="n"/>
      <c r="T536" s="4" t="n"/>
      <c r="U536" s="4" t="n"/>
      <c r="V536" s="4" t="n"/>
      <c r="W536" s="4" t="n"/>
    </row>
    <row r="537" ht="15.75" customHeight="1" s="19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/>
      <c r="M537" s="4" t="n"/>
      <c r="N537" s="4" t="n"/>
      <c r="O537" s="4" t="n"/>
      <c r="P537" s="4" t="n"/>
      <c r="Q537" s="4" t="n"/>
      <c r="R537" s="4" t="n"/>
      <c r="S537" s="4" t="n"/>
      <c r="T537" s="4" t="n"/>
      <c r="U537" s="4" t="n"/>
      <c r="V537" s="4" t="n"/>
      <c r="W537" s="4" t="n"/>
    </row>
    <row r="538" ht="15.75" customHeight="1" s="19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/>
      <c r="N538" s="4" t="n"/>
      <c r="O538" s="4" t="n"/>
      <c r="P538" s="4" t="n"/>
      <c r="Q538" s="4" t="n"/>
      <c r="R538" s="4" t="n"/>
      <c r="S538" s="4" t="n"/>
      <c r="T538" s="4" t="n"/>
      <c r="U538" s="4" t="n"/>
      <c r="V538" s="4" t="n"/>
      <c r="W538" s="4" t="n"/>
    </row>
    <row r="539" ht="15.75" customHeight="1" s="19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4" t="n"/>
      <c r="N539" s="4" t="n"/>
      <c r="O539" s="4" t="n"/>
      <c r="P539" s="4" t="n"/>
      <c r="Q539" s="4" t="n"/>
      <c r="R539" s="4" t="n"/>
      <c r="S539" s="4" t="n"/>
      <c r="T539" s="4" t="n"/>
      <c r="U539" s="4" t="n"/>
      <c r="V539" s="4" t="n"/>
      <c r="W539" s="4" t="n"/>
    </row>
    <row r="540" ht="15.75" customHeight="1" s="19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/>
      <c r="N540" s="4" t="n"/>
      <c r="O540" s="4" t="n"/>
      <c r="P540" s="4" t="n"/>
      <c r="Q540" s="4" t="n"/>
      <c r="R540" s="4" t="n"/>
      <c r="S540" s="4" t="n"/>
      <c r="T540" s="4" t="n"/>
      <c r="U540" s="4" t="n"/>
      <c r="V540" s="4" t="n"/>
      <c r="W540" s="4" t="n"/>
    </row>
    <row r="541" ht="15.75" customHeight="1" s="19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4" t="n"/>
      <c r="N541" s="4" t="n"/>
      <c r="O541" s="4" t="n"/>
      <c r="P541" s="4" t="n"/>
      <c r="Q541" s="4" t="n"/>
      <c r="R541" s="4" t="n"/>
      <c r="S541" s="4" t="n"/>
      <c r="T541" s="4" t="n"/>
      <c r="U541" s="4" t="n"/>
      <c r="V541" s="4" t="n"/>
      <c r="W541" s="4" t="n"/>
    </row>
    <row r="542" ht="15.75" customHeight="1" s="19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/>
      <c r="N542" s="4" t="n"/>
      <c r="O542" s="4" t="n"/>
      <c r="P542" s="4" t="n"/>
      <c r="Q542" s="4" t="n"/>
      <c r="R542" s="4" t="n"/>
      <c r="S542" s="4" t="n"/>
      <c r="T542" s="4" t="n"/>
      <c r="U542" s="4" t="n"/>
      <c r="V542" s="4" t="n"/>
      <c r="W542" s="4" t="n"/>
    </row>
    <row r="543" ht="15.75" customHeight="1" s="19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/>
      <c r="N543" s="4" t="n"/>
      <c r="O543" s="4" t="n"/>
      <c r="P543" s="4" t="n"/>
      <c r="Q543" s="4" t="n"/>
      <c r="R543" s="4" t="n"/>
      <c r="S543" s="4" t="n"/>
      <c r="T543" s="4" t="n"/>
      <c r="U543" s="4" t="n"/>
      <c r="V543" s="4" t="n"/>
      <c r="W543" s="4" t="n"/>
    </row>
    <row r="544" ht="15.75" customHeight="1" s="19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/>
      <c r="N544" s="4" t="n"/>
      <c r="O544" s="4" t="n"/>
      <c r="P544" s="4" t="n"/>
      <c r="Q544" s="4" t="n"/>
      <c r="R544" s="4" t="n"/>
      <c r="S544" s="4" t="n"/>
      <c r="T544" s="4" t="n"/>
      <c r="U544" s="4" t="n"/>
      <c r="V544" s="4" t="n"/>
      <c r="W544" s="4" t="n"/>
    </row>
    <row r="545" ht="15.75" customHeight="1" s="19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4" t="n"/>
      <c r="N545" s="4" t="n"/>
      <c r="O545" s="4" t="n"/>
      <c r="P545" s="4" t="n"/>
      <c r="Q545" s="4" t="n"/>
      <c r="R545" s="4" t="n"/>
      <c r="S545" s="4" t="n"/>
      <c r="T545" s="4" t="n"/>
      <c r="U545" s="4" t="n"/>
      <c r="V545" s="4" t="n"/>
      <c r="W545" s="4" t="n"/>
    </row>
    <row r="546" ht="15.75" customHeight="1" s="19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/>
      <c r="N546" s="4" t="n"/>
      <c r="O546" s="4" t="n"/>
      <c r="P546" s="4" t="n"/>
      <c r="Q546" s="4" t="n"/>
      <c r="R546" s="4" t="n"/>
      <c r="S546" s="4" t="n"/>
      <c r="T546" s="4" t="n"/>
      <c r="U546" s="4" t="n"/>
      <c r="V546" s="4" t="n"/>
      <c r="W546" s="4" t="n"/>
    </row>
    <row r="547" ht="15.75" customHeight="1" s="19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/>
      <c r="O547" s="4" t="n"/>
      <c r="P547" s="4" t="n"/>
      <c r="Q547" s="4" t="n"/>
      <c r="R547" s="4" t="n"/>
      <c r="S547" s="4" t="n"/>
      <c r="T547" s="4" t="n"/>
      <c r="U547" s="4" t="n"/>
      <c r="V547" s="4" t="n"/>
      <c r="W547" s="4" t="n"/>
    </row>
    <row r="548" ht="15.75" customHeight="1" s="19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/>
      <c r="O548" s="4" t="n"/>
      <c r="P548" s="4" t="n"/>
      <c r="Q548" s="4" t="n"/>
      <c r="R548" s="4" t="n"/>
      <c r="S548" s="4" t="n"/>
      <c r="T548" s="4" t="n"/>
      <c r="U548" s="4" t="n"/>
      <c r="V548" s="4" t="n"/>
      <c r="W548" s="4" t="n"/>
    </row>
    <row r="549" ht="15.75" customHeight="1" s="19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/>
      <c r="N549" s="4" t="n"/>
      <c r="O549" s="4" t="n"/>
      <c r="P549" s="4" t="n"/>
      <c r="Q549" s="4" t="n"/>
      <c r="R549" s="4" t="n"/>
      <c r="S549" s="4" t="n"/>
      <c r="T549" s="4" t="n"/>
      <c r="U549" s="4" t="n"/>
      <c r="V549" s="4" t="n"/>
      <c r="W549" s="4" t="n"/>
    </row>
    <row r="550" ht="15.75" customHeight="1" s="19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/>
      <c r="O550" s="4" t="n"/>
      <c r="P550" s="4" t="n"/>
      <c r="Q550" s="4" t="n"/>
      <c r="R550" s="4" t="n"/>
      <c r="S550" s="4" t="n"/>
      <c r="T550" s="4" t="n"/>
      <c r="U550" s="4" t="n"/>
      <c r="V550" s="4" t="n"/>
      <c r="W550" s="4" t="n"/>
    </row>
    <row r="551" ht="15.75" customHeight="1" s="19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n"/>
      <c r="O551" s="4" t="n"/>
      <c r="P551" s="4" t="n"/>
      <c r="Q551" s="4" t="n"/>
      <c r="R551" s="4" t="n"/>
      <c r="S551" s="4" t="n"/>
      <c r="T551" s="4" t="n"/>
      <c r="U551" s="4" t="n"/>
      <c r="V551" s="4" t="n"/>
      <c r="W551" s="4" t="n"/>
    </row>
    <row r="552" ht="15.75" customHeight="1" s="19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/>
      <c r="O552" s="4" t="n"/>
      <c r="P552" s="4" t="n"/>
      <c r="Q552" s="4" t="n"/>
      <c r="R552" s="4" t="n"/>
      <c r="S552" s="4" t="n"/>
      <c r="T552" s="4" t="n"/>
      <c r="U552" s="4" t="n"/>
      <c r="V552" s="4" t="n"/>
      <c r="W552" s="4" t="n"/>
    </row>
    <row r="553" ht="15.75" customHeight="1" s="19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/>
      <c r="O553" s="4" t="n"/>
      <c r="P553" s="4" t="n"/>
      <c r="Q553" s="4" t="n"/>
      <c r="R553" s="4" t="n"/>
      <c r="S553" s="4" t="n"/>
      <c r="T553" s="4" t="n"/>
      <c r="U553" s="4" t="n"/>
      <c r="V553" s="4" t="n"/>
      <c r="W553" s="4" t="n"/>
    </row>
    <row r="554" ht="15.75" customHeight="1" s="19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/>
      <c r="O554" s="4" t="n"/>
      <c r="P554" s="4" t="n"/>
      <c r="Q554" s="4" t="n"/>
      <c r="R554" s="4" t="n"/>
      <c r="S554" s="4" t="n"/>
      <c r="T554" s="4" t="n"/>
      <c r="U554" s="4" t="n"/>
      <c r="V554" s="4" t="n"/>
      <c r="W554" s="4" t="n"/>
    </row>
    <row r="555" ht="15.75" customHeight="1" s="19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/>
      <c r="N555" s="4" t="n"/>
      <c r="O555" s="4" t="n"/>
      <c r="P555" s="4" t="n"/>
      <c r="Q555" s="4" t="n"/>
      <c r="R555" s="4" t="n"/>
      <c r="S555" s="4" t="n"/>
      <c r="T555" s="4" t="n"/>
      <c r="U555" s="4" t="n"/>
      <c r="V555" s="4" t="n"/>
      <c r="W555" s="4" t="n"/>
    </row>
    <row r="556" ht="15.75" customHeight="1" s="19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/>
      <c r="O556" s="4" t="n"/>
      <c r="P556" s="4" t="n"/>
      <c r="Q556" s="4" t="n"/>
      <c r="R556" s="4" t="n"/>
      <c r="S556" s="4" t="n"/>
      <c r="T556" s="4" t="n"/>
      <c r="U556" s="4" t="n"/>
      <c r="V556" s="4" t="n"/>
      <c r="W556" s="4" t="n"/>
    </row>
    <row r="557" ht="15.75" customHeight="1" s="19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/>
      <c r="N557" s="4" t="n"/>
      <c r="O557" s="4" t="n"/>
      <c r="P557" s="4" t="n"/>
      <c r="Q557" s="4" t="n"/>
      <c r="R557" s="4" t="n"/>
      <c r="S557" s="4" t="n"/>
      <c r="T557" s="4" t="n"/>
      <c r="U557" s="4" t="n"/>
      <c r="V557" s="4" t="n"/>
      <c r="W557" s="4" t="n"/>
    </row>
    <row r="558" ht="15.75" customHeight="1" s="19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/>
      <c r="O558" s="4" t="n"/>
      <c r="P558" s="4" t="n"/>
      <c r="Q558" s="4" t="n"/>
      <c r="R558" s="4" t="n"/>
      <c r="S558" s="4" t="n"/>
      <c r="T558" s="4" t="n"/>
      <c r="U558" s="4" t="n"/>
      <c r="V558" s="4" t="n"/>
      <c r="W558" s="4" t="n"/>
    </row>
    <row r="559" ht="15.75" customHeight="1" s="19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/>
      <c r="M559" s="4" t="n"/>
      <c r="N559" s="4" t="n"/>
      <c r="O559" s="4" t="n"/>
      <c r="P559" s="4" t="n"/>
      <c r="Q559" s="4" t="n"/>
      <c r="R559" s="4" t="n"/>
      <c r="S559" s="4" t="n"/>
      <c r="T559" s="4" t="n"/>
      <c r="U559" s="4" t="n"/>
      <c r="V559" s="4" t="n"/>
      <c r="W559" s="4" t="n"/>
    </row>
    <row r="560" ht="15.75" customHeight="1" s="19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/>
      <c r="O560" s="4" t="n"/>
      <c r="P560" s="4" t="n"/>
      <c r="Q560" s="4" t="n"/>
      <c r="R560" s="4" t="n"/>
      <c r="S560" s="4" t="n"/>
      <c r="T560" s="4" t="n"/>
      <c r="U560" s="4" t="n"/>
      <c r="V560" s="4" t="n"/>
      <c r="W560" s="4" t="n"/>
    </row>
    <row r="561" ht="15.75" customHeight="1" s="19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/>
      <c r="N561" s="4" t="n"/>
      <c r="O561" s="4" t="n"/>
      <c r="P561" s="4" t="n"/>
      <c r="Q561" s="4" t="n"/>
      <c r="R561" s="4" t="n"/>
      <c r="S561" s="4" t="n"/>
      <c r="T561" s="4" t="n"/>
      <c r="U561" s="4" t="n"/>
      <c r="V561" s="4" t="n"/>
      <c r="W561" s="4" t="n"/>
    </row>
    <row r="562" ht="15.75" customHeight="1" s="19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/>
      <c r="O562" s="4" t="n"/>
      <c r="P562" s="4" t="n"/>
      <c r="Q562" s="4" t="n"/>
      <c r="R562" s="4" t="n"/>
      <c r="S562" s="4" t="n"/>
      <c r="T562" s="4" t="n"/>
      <c r="U562" s="4" t="n"/>
      <c r="V562" s="4" t="n"/>
      <c r="W562" s="4" t="n"/>
    </row>
    <row r="563" ht="15.75" customHeight="1" s="19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n"/>
      <c r="O563" s="4" t="n"/>
      <c r="P563" s="4" t="n"/>
      <c r="Q563" s="4" t="n"/>
      <c r="R563" s="4" t="n"/>
      <c r="S563" s="4" t="n"/>
      <c r="T563" s="4" t="n"/>
      <c r="U563" s="4" t="n"/>
      <c r="V563" s="4" t="n"/>
      <c r="W563" s="4" t="n"/>
    </row>
    <row r="564" ht="15.75" customHeight="1" s="19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/>
      <c r="O564" s="4" t="n"/>
      <c r="P564" s="4" t="n"/>
      <c r="Q564" s="4" t="n"/>
      <c r="R564" s="4" t="n"/>
      <c r="S564" s="4" t="n"/>
      <c r="T564" s="4" t="n"/>
      <c r="U564" s="4" t="n"/>
      <c r="V564" s="4" t="n"/>
      <c r="W564" s="4" t="n"/>
    </row>
    <row r="565" ht="15.75" customHeight="1" s="19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/>
      <c r="O565" s="4" t="n"/>
      <c r="P565" s="4" t="n"/>
      <c r="Q565" s="4" t="n"/>
      <c r="R565" s="4" t="n"/>
      <c r="S565" s="4" t="n"/>
      <c r="T565" s="4" t="n"/>
      <c r="U565" s="4" t="n"/>
      <c r="V565" s="4" t="n"/>
      <c r="W565" s="4" t="n"/>
    </row>
    <row r="566" ht="15.75" customHeight="1" s="19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/>
      <c r="O566" s="4" t="n"/>
      <c r="P566" s="4" t="n"/>
      <c r="Q566" s="4" t="n"/>
      <c r="R566" s="4" t="n"/>
      <c r="S566" s="4" t="n"/>
      <c r="T566" s="4" t="n"/>
      <c r="U566" s="4" t="n"/>
      <c r="V566" s="4" t="n"/>
      <c r="W566" s="4" t="n"/>
    </row>
    <row r="567" ht="15.75" customHeight="1" s="19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/>
      <c r="O567" s="4" t="n"/>
      <c r="P567" s="4" t="n"/>
      <c r="Q567" s="4" t="n"/>
      <c r="R567" s="4" t="n"/>
      <c r="S567" s="4" t="n"/>
      <c r="T567" s="4" t="n"/>
      <c r="U567" s="4" t="n"/>
      <c r="V567" s="4" t="n"/>
      <c r="W567" s="4" t="n"/>
    </row>
    <row r="568" ht="15.75" customHeight="1" s="19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/>
      <c r="O568" s="4" t="n"/>
      <c r="P568" s="4" t="n"/>
      <c r="Q568" s="4" t="n"/>
      <c r="R568" s="4" t="n"/>
      <c r="S568" s="4" t="n"/>
      <c r="T568" s="4" t="n"/>
      <c r="U568" s="4" t="n"/>
      <c r="V568" s="4" t="n"/>
      <c r="W568" s="4" t="n"/>
    </row>
    <row r="569" ht="15.75" customHeight="1" s="19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/>
      <c r="O569" s="4" t="n"/>
      <c r="P569" s="4" t="n"/>
      <c r="Q569" s="4" t="n"/>
      <c r="R569" s="4" t="n"/>
      <c r="S569" s="4" t="n"/>
      <c r="T569" s="4" t="n"/>
      <c r="U569" s="4" t="n"/>
      <c r="V569" s="4" t="n"/>
      <c r="W569" s="4" t="n"/>
    </row>
    <row r="570" ht="15.75" customHeight="1" s="19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/>
      <c r="O570" s="4" t="n"/>
      <c r="P570" s="4" t="n"/>
      <c r="Q570" s="4" t="n"/>
      <c r="R570" s="4" t="n"/>
      <c r="S570" s="4" t="n"/>
      <c r="T570" s="4" t="n"/>
      <c r="U570" s="4" t="n"/>
      <c r="V570" s="4" t="n"/>
      <c r="W570" s="4" t="n"/>
    </row>
    <row r="571" ht="15.75" customHeight="1" s="19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/>
      <c r="O571" s="4" t="n"/>
      <c r="P571" s="4" t="n"/>
      <c r="Q571" s="4" t="n"/>
      <c r="R571" s="4" t="n"/>
      <c r="S571" s="4" t="n"/>
      <c r="T571" s="4" t="n"/>
      <c r="U571" s="4" t="n"/>
      <c r="V571" s="4" t="n"/>
      <c r="W571" s="4" t="n"/>
    </row>
    <row r="572" ht="15.75" customHeight="1" s="19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/>
      <c r="O572" s="4" t="n"/>
      <c r="P572" s="4" t="n"/>
      <c r="Q572" s="4" t="n"/>
      <c r="R572" s="4" t="n"/>
      <c r="S572" s="4" t="n"/>
      <c r="T572" s="4" t="n"/>
      <c r="U572" s="4" t="n"/>
      <c r="V572" s="4" t="n"/>
      <c r="W572" s="4" t="n"/>
    </row>
    <row r="573" ht="15.75" customHeight="1" s="19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/>
      <c r="O573" s="4" t="n"/>
      <c r="P573" s="4" t="n"/>
      <c r="Q573" s="4" t="n"/>
      <c r="R573" s="4" t="n"/>
      <c r="S573" s="4" t="n"/>
      <c r="T573" s="4" t="n"/>
      <c r="U573" s="4" t="n"/>
      <c r="V573" s="4" t="n"/>
      <c r="W573" s="4" t="n"/>
    </row>
    <row r="574" ht="15.75" customHeight="1" s="19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/>
      <c r="O574" s="4" t="n"/>
      <c r="P574" s="4" t="n"/>
      <c r="Q574" s="4" t="n"/>
      <c r="R574" s="4" t="n"/>
      <c r="S574" s="4" t="n"/>
      <c r="T574" s="4" t="n"/>
      <c r="U574" s="4" t="n"/>
      <c r="V574" s="4" t="n"/>
      <c r="W574" s="4" t="n"/>
    </row>
    <row r="575" ht="15.75" customHeight="1" s="19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/>
      <c r="O575" s="4" t="n"/>
      <c r="P575" s="4" t="n"/>
      <c r="Q575" s="4" t="n"/>
      <c r="R575" s="4" t="n"/>
      <c r="S575" s="4" t="n"/>
      <c r="T575" s="4" t="n"/>
      <c r="U575" s="4" t="n"/>
      <c r="V575" s="4" t="n"/>
      <c r="W575" s="4" t="n"/>
    </row>
    <row r="576" ht="15.75" customHeight="1" s="19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  <c r="O576" s="4" t="n"/>
      <c r="P576" s="4" t="n"/>
      <c r="Q576" s="4" t="n"/>
      <c r="R576" s="4" t="n"/>
      <c r="S576" s="4" t="n"/>
      <c r="T576" s="4" t="n"/>
      <c r="U576" s="4" t="n"/>
      <c r="V576" s="4" t="n"/>
      <c r="W576" s="4" t="n"/>
    </row>
    <row r="577" ht="15.75" customHeight="1" s="19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/>
      <c r="M577" s="4" t="n"/>
      <c r="N577" s="4" t="n"/>
      <c r="O577" s="4" t="n"/>
      <c r="P577" s="4" t="n"/>
      <c r="Q577" s="4" t="n"/>
      <c r="R577" s="4" t="n"/>
      <c r="S577" s="4" t="n"/>
      <c r="T577" s="4" t="n"/>
      <c r="U577" s="4" t="n"/>
      <c r="V577" s="4" t="n"/>
      <c r="W577" s="4" t="n"/>
    </row>
    <row r="578" ht="15.75" customHeight="1" s="19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/>
      <c r="N578" s="4" t="n"/>
      <c r="O578" s="4" t="n"/>
      <c r="P578" s="4" t="n"/>
      <c r="Q578" s="4" t="n"/>
      <c r="R578" s="4" t="n"/>
      <c r="S578" s="4" t="n"/>
      <c r="T578" s="4" t="n"/>
      <c r="U578" s="4" t="n"/>
      <c r="V578" s="4" t="n"/>
      <c r="W578" s="4" t="n"/>
    </row>
    <row r="579" ht="15.75" customHeight="1" s="19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  <c r="K579" s="4" t="n"/>
      <c r="L579" s="4" t="n"/>
      <c r="M579" s="4" t="n"/>
      <c r="N579" s="4" t="n"/>
      <c r="O579" s="4" t="n"/>
      <c r="P579" s="4" t="n"/>
      <c r="Q579" s="4" t="n"/>
      <c r="R579" s="4" t="n"/>
      <c r="S579" s="4" t="n"/>
      <c r="T579" s="4" t="n"/>
      <c r="U579" s="4" t="n"/>
      <c r="V579" s="4" t="n"/>
      <c r="W579" s="4" t="n"/>
    </row>
    <row r="580" ht="15.75" customHeight="1" s="19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/>
      <c r="N580" s="4" t="n"/>
      <c r="O580" s="4" t="n"/>
      <c r="P580" s="4" t="n"/>
      <c r="Q580" s="4" t="n"/>
      <c r="R580" s="4" t="n"/>
      <c r="S580" s="4" t="n"/>
      <c r="T580" s="4" t="n"/>
      <c r="U580" s="4" t="n"/>
      <c r="V580" s="4" t="n"/>
      <c r="W580" s="4" t="n"/>
    </row>
    <row r="581" ht="15.75" customHeight="1" s="19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  <c r="K581" s="4" t="n"/>
      <c r="L581" s="4" t="n"/>
      <c r="M581" s="4" t="n"/>
      <c r="N581" s="4" t="n"/>
      <c r="O581" s="4" t="n"/>
      <c r="P581" s="4" t="n"/>
      <c r="Q581" s="4" t="n"/>
      <c r="R581" s="4" t="n"/>
      <c r="S581" s="4" t="n"/>
      <c r="T581" s="4" t="n"/>
      <c r="U581" s="4" t="n"/>
      <c r="V581" s="4" t="n"/>
      <c r="W581" s="4" t="n"/>
    </row>
    <row r="582" ht="15.75" customHeight="1" s="19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/>
      <c r="N582" s="4" t="n"/>
      <c r="O582" s="4" t="n"/>
      <c r="P582" s="4" t="n"/>
      <c r="Q582" s="4" t="n"/>
      <c r="R582" s="4" t="n"/>
      <c r="S582" s="4" t="n"/>
      <c r="T582" s="4" t="n"/>
      <c r="U582" s="4" t="n"/>
      <c r="V582" s="4" t="n"/>
      <c r="W582" s="4" t="n"/>
    </row>
    <row r="583" ht="15.75" customHeight="1" s="19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  <c r="K583" s="4" t="n"/>
      <c r="L583" s="4" t="n"/>
      <c r="M583" s="4" t="n"/>
      <c r="N583" s="4" t="n"/>
      <c r="O583" s="4" t="n"/>
      <c r="P583" s="4" t="n"/>
      <c r="Q583" s="4" t="n"/>
      <c r="R583" s="4" t="n"/>
      <c r="S583" s="4" t="n"/>
      <c r="T583" s="4" t="n"/>
      <c r="U583" s="4" t="n"/>
      <c r="V583" s="4" t="n"/>
      <c r="W583" s="4" t="n"/>
    </row>
    <row r="584" ht="15.75" customHeight="1" s="19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/>
      <c r="N584" s="4" t="n"/>
      <c r="O584" s="4" t="n"/>
      <c r="P584" s="4" t="n"/>
      <c r="Q584" s="4" t="n"/>
      <c r="R584" s="4" t="n"/>
      <c r="S584" s="4" t="n"/>
      <c r="T584" s="4" t="n"/>
      <c r="U584" s="4" t="n"/>
      <c r="V584" s="4" t="n"/>
      <c r="W584" s="4" t="n"/>
    </row>
    <row r="585" ht="15.75" customHeight="1" s="19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  <c r="K585" s="4" t="n"/>
      <c r="L585" s="4" t="n"/>
      <c r="M585" s="4" t="n"/>
      <c r="N585" s="4" t="n"/>
      <c r="O585" s="4" t="n"/>
      <c r="P585" s="4" t="n"/>
      <c r="Q585" s="4" t="n"/>
      <c r="R585" s="4" t="n"/>
      <c r="S585" s="4" t="n"/>
      <c r="T585" s="4" t="n"/>
      <c r="U585" s="4" t="n"/>
      <c r="V585" s="4" t="n"/>
      <c r="W585" s="4" t="n"/>
    </row>
    <row r="586" ht="15.75" customHeight="1" s="19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  <c r="K586" s="4" t="n"/>
      <c r="L586" s="4" t="n"/>
      <c r="M586" s="4" t="n"/>
      <c r="N586" s="4" t="n"/>
      <c r="O586" s="4" t="n"/>
      <c r="P586" s="4" t="n"/>
      <c r="Q586" s="4" t="n"/>
      <c r="R586" s="4" t="n"/>
      <c r="S586" s="4" t="n"/>
      <c r="T586" s="4" t="n"/>
      <c r="U586" s="4" t="n"/>
      <c r="V586" s="4" t="n"/>
      <c r="W586" s="4" t="n"/>
    </row>
    <row r="587" ht="15.75" customHeight="1" s="19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  <c r="K587" s="4" t="n"/>
      <c r="L587" s="4" t="n"/>
      <c r="M587" s="4" t="n"/>
      <c r="N587" s="4" t="n"/>
      <c r="O587" s="4" t="n"/>
      <c r="P587" s="4" t="n"/>
      <c r="Q587" s="4" t="n"/>
      <c r="R587" s="4" t="n"/>
      <c r="S587" s="4" t="n"/>
      <c r="T587" s="4" t="n"/>
      <c r="U587" s="4" t="n"/>
      <c r="V587" s="4" t="n"/>
      <c r="W587" s="4" t="n"/>
    </row>
    <row r="588" ht="15.75" customHeight="1" s="19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/>
      <c r="M588" s="4" t="n"/>
      <c r="N588" s="4" t="n"/>
      <c r="O588" s="4" t="n"/>
      <c r="P588" s="4" t="n"/>
      <c r="Q588" s="4" t="n"/>
      <c r="R588" s="4" t="n"/>
      <c r="S588" s="4" t="n"/>
      <c r="T588" s="4" t="n"/>
      <c r="U588" s="4" t="n"/>
      <c r="V588" s="4" t="n"/>
      <c r="W588" s="4" t="n"/>
    </row>
    <row r="589" ht="15.75" customHeight="1" s="19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  <c r="K589" s="4" t="n"/>
      <c r="L589" s="4" t="n"/>
      <c r="M589" s="4" t="n"/>
      <c r="N589" s="4" t="n"/>
      <c r="O589" s="4" t="n"/>
      <c r="P589" s="4" t="n"/>
      <c r="Q589" s="4" t="n"/>
      <c r="R589" s="4" t="n"/>
      <c r="S589" s="4" t="n"/>
      <c r="T589" s="4" t="n"/>
      <c r="U589" s="4" t="n"/>
      <c r="V589" s="4" t="n"/>
      <c r="W589" s="4" t="n"/>
    </row>
    <row r="590" ht="15.75" customHeight="1" s="19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  <c r="K590" s="4" t="n"/>
      <c r="L590" s="4" t="n"/>
      <c r="M590" s="4" t="n"/>
      <c r="N590" s="4" t="n"/>
      <c r="O590" s="4" t="n"/>
      <c r="P590" s="4" t="n"/>
      <c r="Q590" s="4" t="n"/>
      <c r="R590" s="4" t="n"/>
      <c r="S590" s="4" t="n"/>
      <c r="T590" s="4" t="n"/>
      <c r="U590" s="4" t="n"/>
      <c r="V590" s="4" t="n"/>
      <c r="W590" s="4" t="n"/>
    </row>
    <row r="591" ht="15.75" customHeight="1" s="19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  <c r="K591" s="4" t="n"/>
      <c r="L591" s="4" t="n"/>
      <c r="M591" s="4" t="n"/>
      <c r="N591" s="4" t="n"/>
      <c r="O591" s="4" t="n"/>
      <c r="P591" s="4" t="n"/>
      <c r="Q591" s="4" t="n"/>
      <c r="R591" s="4" t="n"/>
      <c r="S591" s="4" t="n"/>
      <c r="T591" s="4" t="n"/>
      <c r="U591" s="4" t="n"/>
      <c r="V591" s="4" t="n"/>
      <c r="W591" s="4" t="n"/>
    </row>
    <row r="592" ht="15.75" customHeight="1" s="19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  <c r="K592" s="4" t="n"/>
      <c r="L592" s="4" t="n"/>
      <c r="M592" s="4" t="n"/>
      <c r="N592" s="4" t="n"/>
      <c r="O592" s="4" t="n"/>
      <c r="P592" s="4" t="n"/>
      <c r="Q592" s="4" t="n"/>
      <c r="R592" s="4" t="n"/>
      <c r="S592" s="4" t="n"/>
      <c r="T592" s="4" t="n"/>
      <c r="U592" s="4" t="n"/>
      <c r="V592" s="4" t="n"/>
      <c r="W592" s="4" t="n"/>
    </row>
    <row r="593" ht="15.75" customHeight="1" s="19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  <c r="K593" s="4" t="n"/>
      <c r="L593" s="4" t="n"/>
      <c r="M593" s="4" t="n"/>
      <c r="N593" s="4" t="n"/>
      <c r="O593" s="4" t="n"/>
      <c r="P593" s="4" t="n"/>
      <c r="Q593" s="4" t="n"/>
      <c r="R593" s="4" t="n"/>
      <c r="S593" s="4" t="n"/>
      <c r="T593" s="4" t="n"/>
      <c r="U593" s="4" t="n"/>
      <c r="V593" s="4" t="n"/>
      <c r="W593" s="4" t="n"/>
    </row>
    <row r="594" ht="15.75" customHeight="1" s="19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  <c r="K594" s="4" t="n"/>
      <c r="L594" s="4" t="n"/>
      <c r="M594" s="4" t="n"/>
      <c r="N594" s="4" t="n"/>
      <c r="O594" s="4" t="n"/>
      <c r="P594" s="4" t="n"/>
      <c r="Q594" s="4" t="n"/>
      <c r="R594" s="4" t="n"/>
      <c r="S594" s="4" t="n"/>
      <c r="T594" s="4" t="n"/>
      <c r="U594" s="4" t="n"/>
      <c r="V594" s="4" t="n"/>
      <c r="W594" s="4" t="n"/>
    </row>
    <row r="595" ht="15.75" customHeight="1" s="19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  <c r="K595" s="4" t="n"/>
      <c r="L595" s="4" t="n"/>
      <c r="M595" s="4" t="n"/>
      <c r="N595" s="4" t="n"/>
      <c r="O595" s="4" t="n"/>
      <c r="P595" s="4" t="n"/>
      <c r="Q595" s="4" t="n"/>
      <c r="R595" s="4" t="n"/>
      <c r="S595" s="4" t="n"/>
      <c r="T595" s="4" t="n"/>
      <c r="U595" s="4" t="n"/>
      <c r="V595" s="4" t="n"/>
      <c r="W595" s="4" t="n"/>
    </row>
    <row r="596" ht="15.75" customHeight="1" s="19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  <c r="K596" s="4" t="n"/>
      <c r="L596" s="4" t="n"/>
      <c r="M596" s="4" t="n"/>
      <c r="N596" s="4" t="n"/>
      <c r="O596" s="4" t="n"/>
      <c r="P596" s="4" t="n"/>
      <c r="Q596" s="4" t="n"/>
      <c r="R596" s="4" t="n"/>
      <c r="S596" s="4" t="n"/>
      <c r="T596" s="4" t="n"/>
      <c r="U596" s="4" t="n"/>
      <c r="V596" s="4" t="n"/>
      <c r="W596" s="4" t="n"/>
    </row>
    <row r="597" ht="15.75" customHeight="1" s="19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  <c r="K597" s="4" t="n"/>
      <c r="L597" s="4" t="n"/>
      <c r="M597" s="4" t="n"/>
      <c r="N597" s="4" t="n"/>
      <c r="O597" s="4" t="n"/>
      <c r="P597" s="4" t="n"/>
      <c r="Q597" s="4" t="n"/>
      <c r="R597" s="4" t="n"/>
      <c r="S597" s="4" t="n"/>
      <c r="T597" s="4" t="n"/>
      <c r="U597" s="4" t="n"/>
      <c r="V597" s="4" t="n"/>
      <c r="W597" s="4" t="n"/>
    </row>
    <row r="598" ht="15.75" customHeight="1" s="19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  <c r="K598" s="4" t="n"/>
      <c r="L598" s="4" t="n"/>
      <c r="M598" s="4" t="n"/>
      <c r="N598" s="4" t="n"/>
      <c r="O598" s="4" t="n"/>
      <c r="P598" s="4" t="n"/>
      <c r="Q598" s="4" t="n"/>
      <c r="R598" s="4" t="n"/>
      <c r="S598" s="4" t="n"/>
      <c r="T598" s="4" t="n"/>
      <c r="U598" s="4" t="n"/>
      <c r="V598" s="4" t="n"/>
      <c r="W598" s="4" t="n"/>
    </row>
    <row r="599" ht="15.75" customHeight="1" s="19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  <c r="K599" s="4" t="n"/>
      <c r="L599" s="4" t="n"/>
      <c r="M599" s="4" t="n"/>
      <c r="N599" s="4" t="n"/>
      <c r="O599" s="4" t="n"/>
      <c r="P599" s="4" t="n"/>
      <c r="Q599" s="4" t="n"/>
      <c r="R599" s="4" t="n"/>
      <c r="S599" s="4" t="n"/>
      <c r="T599" s="4" t="n"/>
      <c r="U599" s="4" t="n"/>
      <c r="V599" s="4" t="n"/>
      <c r="W599" s="4" t="n"/>
    </row>
    <row r="600" ht="15.75" customHeight="1" s="19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  <c r="K600" s="4" t="n"/>
      <c r="L600" s="4" t="n"/>
      <c r="M600" s="4" t="n"/>
      <c r="N600" s="4" t="n"/>
      <c r="O600" s="4" t="n"/>
      <c r="P600" s="4" t="n"/>
      <c r="Q600" s="4" t="n"/>
      <c r="R600" s="4" t="n"/>
      <c r="S600" s="4" t="n"/>
      <c r="T600" s="4" t="n"/>
      <c r="U600" s="4" t="n"/>
      <c r="V600" s="4" t="n"/>
      <c r="W600" s="4" t="n"/>
    </row>
    <row r="601" ht="15.75" customHeight="1" s="19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  <c r="K601" s="4" t="n"/>
      <c r="L601" s="4" t="n"/>
      <c r="M601" s="4" t="n"/>
      <c r="N601" s="4" t="n"/>
      <c r="O601" s="4" t="n"/>
      <c r="P601" s="4" t="n"/>
      <c r="Q601" s="4" t="n"/>
      <c r="R601" s="4" t="n"/>
      <c r="S601" s="4" t="n"/>
      <c r="T601" s="4" t="n"/>
      <c r="U601" s="4" t="n"/>
      <c r="V601" s="4" t="n"/>
      <c r="W601" s="4" t="n"/>
    </row>
    <row r="602" ht="15.75" customHeight="1" s="19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  <c r="K602" s="4" t="n"/>
      <c r="L602" s="4" t="n"/>
      <c r="M602" s="4" t="n"/>
      <c r="N602" s="4" t="n"/>
      <c r="O602" s="4" t="n"/>
      <c r="P602" s="4" t="n"/>
      <c r="Q602" s="4" t="n"/>
      <c r="R602" s="4" t="n"/>
      <c r="S602" s="4" t="n"/>
      <c r="T602" s="4" t="n"/>
      <c r="U602" s="4" t="n"/>
      <c r="V602" s="4" t="n"/>
      <c r="W602" s="4" t="n"/>
    </row>
    <row r="603" ht="15.75" customHeight="1" s="19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  <c r="K603" s="4" t="n"/>
      <c r="L603" s="4" t="n"/>
      <c r="M603" s="4" t="n"/>
      <c r="N603" s="4" t="n"/>
      <c r="O603" s="4" t="n"/>
      <c r="P603" s="4" t="n"/>
      <c r="Q603" s="4" t="n"/>
      <c r="R603" s="4" t="n"/>
      <c r="S603" s="4" t="n"/>
      <c r="T603" s="4" t="n"/>
      <c r="U603" s="4" t="n"/>
      <c r="V603" s="4" t="n"/>
      <c r="W603" s="4" t="n"/>
    </row>
    <row r="604" ht="15.75" customHeight="1" s="19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  <c r="K604" s="4" t="n"/>
      <c r="L604" s="4" t="n"/>
      <c r="M604" s="4" t="n"/>
      <c r="N604" s="4" t="n"/>
      <c r="O604" s="4" t="n"/>
      <c r="P604" s="4" t="n"/>
      <c r="Q604" s="4" t="n"/>
      <c r="R604" s="4" t="n"/>
      <c r="S604" s="4" t="n"/>
      <c r="T604" s="4" t="n"/>
      <c r="U604" s="4" t="n"/>
      <c r="V604" s="4" t="n"/>
      <c r="W604" s="4" t="n"/>
    </row>
    <row r="605" ht="15.75" customHeight="1" s="19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  <c r="K605" s="4" t="n"/>
      <c r="L605" s="4" t="n"/>
      <c r="M605" s="4" t="n"/>
      <c r="N605" s="4" t="n"/>
      <c r="O605" s="4" t="n"/>
      <c r="P605" s="4" t="n"/>
      <c r="Q605" s="4" t="n"/>
      <c r="R605" s="4" t="n"/>
      <c r="S605" s="4" t="n"/>
      <c r="T605" s="4" t="n"/>
      <c r="U605" s="4" t="n"/>
      <c r="V605" s="4" t="n"/>
      <c r="W605" s="4" t="n"/>
    </row>
    <row r="606" ht="15.75" customHeight="1" s="19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  <c r="K606" s="4" t="n"/>
      <c r="L606" s="4" t="n"/>
      <c r="M606" s="4" t="n"/>
      <c r="N606" s="4" t="n"/>
      <c r="O606" s="4" t="n"/>
      <c r="P606" s="4" t="n"/>
      <c r="Q606" s="4" t="n"/>
      <c r="R606" s="4" t="n"/>
      <c r="S606" s="4" t="n"/>
      <c r="T606" s="4" t="n"/>
      <c r="U606" s="4" t="n"/>
      <c r="V606" s="4" t="n"/>
      <c r="W606" s="4" t="n"/>
    </row>
    <row r="607" ht="15.75" customHeight="1" s="19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  <c r="K607" s="4" t="n"/>
      <c r="L607" s="4" t="n"/>
      <c r="M607" s="4" t="n"/>
      <c r="N607" s="4" t="n"/>
      <c r="O607" s="4" t="n"/>
      <c r="P607" s="4" t="n"/>
      <c r="Q607" s="4" t="n"/>
      <c r="R607" s="4" t="n"/>
      <c r="S607" s="4" t="n"/>
      <c r="T607" s="4" t="n"/>
      <c r="U607" s="4" t="n"/>
      <c r="V607" s="4" t="n"/>
      <c r="W607" s="4" t="n"/>
    </row>
    <row r="608" ht="15.75" customHeight="1" s="19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  <c r="K608" s="4" t="n"/>
      <c r="L608" s="4" t="n"/>
      <c r="M608" s="4" t="n"/>
      <c r="N608" s="4" t="n"/>
      <c r="O608" s="4" t="n"/>
      <c r="P608" s="4" t="n"/>
      <c r="Q608" s="4" t="n"/>
      <c r="R608" s="4" t="n"/>
      <c r="S608" s="4" t="n"/>
      <c r="T608" s="4" t="n"/>
      <c r="U608" s="4" t="n"/>
      <c r="V608" s="4" t="n"/>
      <c r="W608" s="4" t="n"/>
    </row>
    <row r="609" ht="15.75" customHeight="1" s="19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  <c r="K609" s="4" t="n"/>
      <c r="L609" s="4" t="n"/>
      <c r="M609" s="4" t="n"/>
      <c r="N609" s="4" t="n"/>
      <c r="O609" s="4" t="n"/>
      <c r="P609" s="4" t="n"/>
      <c r="Q609" s="4" t="n"/>
      <c r="R609" s="4" t="n"/>
      <c r="S609" s="4" t="n"/>
      <c r="T609" s="4" t="n"/>
      <c r="U609" s="4" t="n"/>
      <c r="V609" s="4" t="n"/>
      <c r="W609" s="4" t="n"/>
    </row>
    <row r="610" ht="15.75" customHeight="1" s="19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  <c r="K610" s="4" t="n"/>
      <c r="L610" s="4" t="n"/>
      <c r="M610" s="4" t="n"/>
      <c r="N610" s="4" t="n"/>
      <c r="O610" s="4" t="n"/>
      <c r="P610" s="4" t="n"/>
      <c r="Q610" s="4" t="n"/>
      <c r="R610" s="4" t="n"/>
      <c r="S610" s="4" t="n"/>
      <c r="T610" s="4" t="n"/>
      <c r="U610" s="4" t="n"/>
      <c r="V610" s="4" t="n"/>
      <c r="W610" s="4" t="n"/>
    </row>
    <row r="611" ht="15.75" customHeight="1" s="19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  <c r="K611" s="4" t="n"/>
      <c r="L611" s="4" t="n"/>
      <c r="M611" s="4" t="n"/>
      <c r="N611" s="4" t="n"/>
      <c r="O611" s="4" t="n"/>
      <c r="P611" s="4" t="n"/>
      <c r="Q611" s="4" t="n"/>
      <c r="R611" s="4" t="n"/>
      <c r="S611" s="4" t="n"/>
      <c r="T611" s="4" t="n"/>
      <c r="U611" s="4" t="n"/>
      <c r="V611" s="4" t="n"/>
      <c r="W611" s="4" t="n"/>
    </row>
    <row r="612" ht="15.75" customHeight="1" s="19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  <c r="K612" s="4" t="n"/>
      <c r="L612" s="4" t="n"/>
      <c r="M612" s="4" t="n"/>
      <c r="N612" s="4" t="n"/>
      <c r="O612" s="4" t="n"/>
      <c r="P612" s="4" t="n"/>
      <c r="Q612" s="4" t="n"/>
      <c r="R612" s="4" t="n"/>
      <c r="S612" s="4" t="n"/>
      <c r="T612" s="4" t="n"/>
      <c r="U612" s="4" t="n"/>
      <c r="V612" s="4" t="n"/>
      <c r="W612" s="4" t="n"/>
    </row>
    <row r="613" ht="15.75" customHeight="1" s="19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  <c r="K613" s="4" t="n"/>
      <c r="L613" s="4" t="n"/>
      <c r="M613" s="4" t="n"/>
      <c r="N613" s="4" t="n"/>
      <c r="O613" s="4" t="n"/>
      <c r="P613" s="4" t="n"/>
      <c r="Q613" s="4" t="n"/>
      <c r="R613" s="4" t="n"/>
      <c r="S613" s="4" t="n"/>
      <c r="T613" s="4" t="n"/>
      <c r="U613" s="4" t="n"/>
      <c r="V613" s="4" t="n"/>
      <c r="W613" s="4" t="n"/>
    </row>
    <row r="614" ht="15.75" customHeight="1" s="19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  <c r="K614" s="4" t="n"/>
      <c r="L614" s="4" t="n"/>
      <c r="M614" s="4" t="n"/>
      <c r="N614" s="4" t="n"/>
      <c r="O614" s="4" t="n"/>
      <c r="P614" s="4" t="n"/>
      <c r="Q614" s="4" t="n"/>
      <c r="R614" s="4" t="n"/>
      <c r="S614" s="4" t="n"/>
      <c r="T614" s="4" t="n"/>
      <c r="U614" s="4" t="n"/>
      <c r="V614" s="4" t="n"/>
      <c r="W614" s="4" t="n"/>
    </row>
    <row r="615" ht="15.75" customHeight="1" s="19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  <c r="K615" s="4" t="n"/>
      <c r="L615" s="4" t="n"/>
      <c r="M615" s="4" t="n"/>
      <c r="N615" s="4" t="n"/>
      <c r="O615" s="4" t="n"/>
      <c r="P615" s="4" t="n"/>
      <c r="Q615" s="4" t="n"/>
      <c r="R615" s="4" t="n"/>
      <c r="S615" s="4" t="n"/>
      <c r="T615" s="4" t="n"/>
      <c r="U615" s="4" t="n"/>
      <c r="V615" s="4" t="n"/>
      <c r="W615" s="4" t="n"/>
    </row>
    <row r="616" ht="15.75" customHeight="1" s="19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  <c r="K616" s="4" t="n"/>
      <c r="L616" s="4" t="n"/>
      <c r="M616" s="4" t="n"/>
      <c r="N616" s="4" t="n"/>
      <c r="O616" s="4" t="n"/>
      <c r="P616" s="4" t="n"/>
      <c r="Q616" s="4" t="n"/>
      <c r="R616" s="4" t="n"/>
      <c r="S616" s="4" t="n"/>
      <c r="T616" s="4" t="n"/>
      <c r="U616" s="4" t="n"/>
      <c r="V616" s="4" t="n"/>
      <c r="W616" s="4" t="n"/>
    </row>
    <row r="617" ht="15.75" customHeight="1" s="19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  <c r="K617" s="4" t="n"/>
      <c r="L617" s="4" t="n"/>
      <c r="M617" s="4" t="n"/>
      <c r="N617" s="4" t="n"/>
      <c r="O617" s="4" t="n"/>
      <c r="P617" s="4" t="n"/>
      <c r="Q617" s="4" t="n"/>
      <c r="R617" s="4" t="n"/>
      <c r="S617" s="4" t="n"/>
      <c r="T617" s="4" t="n"/>
      <c r="U617" s="4" t="n"/>
      <c r="V617" s="4" t="n"/>
      <c r="W617" s="4" t="n"/>
    </row>
    <row r="618" ht="15.75" customHeight="1" s="19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  <c r="K618" s="4" t="n"/>
      <c r="L618" s="4" t="n"/>
      <c r="M618" s="4" t="n"/>
      <c r="N618" s="4" t="n"/>
      <c r="O618" s="4" t="n"/>
      <c r="P618" s="4" t="n"/>
      <c r="Q618" s="4" t="n"/>
      <c r="R618" s="4" t="n"/>
      <c r="S618" s="4" t="n"/>
      <c r="T618" s="4" t="n"/>
      <c r="U618" s="4" t="n"/>
      <c r="V618" s="4" t="n"/>
      <c r="W618" s="4" t="n"/>
    </row>
    <row r="619" ht="15.75" customHeight="1" s="19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  <c r="K619" s="4" t="n"/>
      <c r="L619" s="4" t="n"/>
      <c r="M619" s="4" t="n"/>
      <c r="N619" s="4" t="n"/>
      <c r="O619" s="4" t="n"/>
      <c r="P619" s="4" t="n"/>
      <c r="Q619" s="4" t="n"/>
      <c r="R619" s="4" t="n"/>
      <c r="S619" s="4" t="n"/>
      <c r="T619" s="4" t="n"/>
      <c r="U619" s="4" t="n"/>
      <c r="V619" s="4" t="n"/>
      <c r="W619" s="4" t="n"/>
    </row>
    <row r="620" ht="15.75" customHeight="1" s="19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  <c r="K620" s="4" t="n"/>
      <c r="L620" s="4" t="n"/>
      <c r="M620" s="4" t="n"/>
      <c r="N620" s="4" t="n"/>
      <c r="O620" s="4" t="n"/>
      <c r="P620" s="4" t="n"/>
      <c r="Q620" s="4" t="n"/>
      <c r="R620" s="4" t="n"/>
      <c r="S620" s="4" t="n"/>
      <c r="T620" s="4" t="n"/>
      <c r="U620" s="4" t="n"/>
      <c r="V620" s="4" t="n"/>
      <c r="W620" s="4" t="n"/>
    </row>
    <row r="621" ht="15.75" customHeight="1" s="19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  <c r="K621" s="4" t="n"/>
      <c r="L621" s="4" t="n"/>
      <c r="M621" s="4" t="n"/>
      <c r="N621" s="4" t="n"/>
      <c r="O621" s="4" t="n"/>
      <c r="P621" s="4" t="n"/>
      <c r="Q621" s="4" t="n"/>
      <c r="R621" s="4" t="n"/>
      <c r="S621" s="4" t="n"/>
      <c r="T621" s="4" t="n"/>
      <c r="U621" s="4" t="n"/>
      <c r="V621" s="4" t="n"/>
      <c r="W621" s="4" t="n"/>
    </row>
    <row r="622" ht="15.75" customHeight="1" s="19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  <c r="K622" s="4" t="n"/>
      <c r="L622" s="4" t="n"/>
      <c r="M622" s="4" t="n"/>
      <c r="N622" s="4" t="n"/>
      <c r="O622" s="4" t="n"/>
      <c r="P622" s="4" t="n"/>
      <c r="Q622" s="4" t="n"/>
      <c r="R622" s="4" t="n"/>
      <c r="S622" s="4" t="n"/>
      <c r="T622" s="4" t="n"/>
      <c r="U622" s="4" t="n"/>
      <c r="V622" s="4" t="n"/>
      <c r="W622" s="4" t="n"/>
    </row>
    <row r="623" ht="15.75" customHeight="1" s="19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  <c r="K623" s="4" t="n"/>
      <c r="L623" s="4" t="n"/>
      <c r="M623" s="4" t="n"/>
      <c r="N623" s="4" t="n"/>
      <c r="O623" s="4" t="n"/>
      <c r="P623" s="4" t="n"/>
      <c r="Q623" s="4" t="n"/>
      <c r="R623" s="4" t="n"/>
      <c r="S623" s="4" t="n"/>
      <c r="T623" s="4" t="n"/>
      <c r="U623" s="4" t="n"/>
      <c r="V623" s="4" t="n"/>
      <c r="W623" s="4" t="n"/>
    </row>
    <row r="624" ht="15.75" customHeight="1" s="19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  <c r="K624" s="4" t="n"/>
      <c r="L624" s="4" t="n"/>
      <c r="M624" s="4" t="n"/>
      <c r="N624" s="4" t="n"/>
      <c r="O624" s="4" t="n"/>
      <c r="P624" s="4" t="n"/>
      <c r="Q624" s="4" t="n"/>
      <c r="R624" s="4" t="n"/>
      <c r="S624" s="4" t="n"/>
      <c r="T624" s="4" t="n"/>
      <c r="U624" s="4" t="n"/>
      <c r="V624" s="4" t="n"/>
      <c r="W624" s="4" t="n"/>
    </row>
    <row r="625" ht="15.75" customHeight="1" s="19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  <c r="K625" s="4" t="n"/>
      <c r="L625" s="4" t="n"/>
      <c r="M625" s="4" t="n"/>
      <c r="N625" s="4" t="n"/>
      <c r="O625" s="4" t="n"/>
      <c r="P625" s="4" t="n"/>
      <c r="Q625" s="4" t="n"/>
      <c r="R625" s="4" t="n"/>
      <c r="S625" s="4" t="n"/>
      <c r="T625" s="4" t="n"/>
      <c r="U625" s="4" t="n"/>
      <c r="V625" s="4" t="n"/>
      <c r="W625" s="4" t="n"/>
    </row>
    <row r="626" ht="15.75" customHeight="1" s="19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  <c r="K626" s="4" t="n"/>
      <c r="L626" s="4" t="n"/>
      <c r="M626" s="4" t="n"/>
      <c r="N626" s="4" t="n"/>
      <c r="O626" s="4" t="n"/>
      <c r="P626" s="4" t="n"/>
      <c r="Q626" s="4" t="n"/>
      <c r="R626" s="4" t="n"/>
      <c r="S626" s="4" t="n"/>
      <c r="T626" s="4" t="n"/>
      <c r="U626" s="4" t="n"/>
      <c r="V626" s="4" t="n"/>
      <c r="W626" s="4" t="n"/>
    </row>
    <row r="627" ht="15.75" customHeight="1" s="19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  <c r="K627" s="4" t="n"/>
      <c r="L627" s="4" t="n"/>
      <c r="M627" s="4" t="n"/>
      <c r="N627" s="4" t="n"/>
      <c r="O627" s="4" t="n"/>
      <c r="P627" s="4" t="n"/>
      <c r="Q627" s="4" t="n"/>
      <c r="R627" s="4" t="n"/>
      <c r="S627" s="4" t="n"/>
      <c r="T627" s="4" t="n"/>
      <c r="U627" s="4" t="n"/>
      <c r="V627" s="4" t="n"/>
      <c r="W627" s="4" t="n"/>
    </row>
    <row r="628" ht="15.75" customHeight="1" s="19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/>
      <c r="M628" s="4" t="n"/>
      <c r="N628" s="4" t="n"/>
      <c r="O628" s="4" t="n"/>
      <c r="P628" s="4" t="n"/>
      <c r="Q628" s="4" t="n"/>
      <c r="R628" s="4" t="n"/>
      <c r="S628" s="4" t="n"/>
      <c r="T628" s="4" t="n"/>
      <c r="U628" s="4" t="n"/>
      <c r="V628" s="4" t="n"/>
      <c r="W628" s="4" t="n"/>
    </row>
    <row r="629" ht="15.75" customHeight="1" s="19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  <c r="K629" s="4" t="n"/>
      <c r="L629" s="4" t="n"/>
      <c r="M629" s="4" t="n"/>
      <c r="N629" s="4" t="n"/>
      <c r="O629" s="4" t="n"/>
      <c r="P629" s="4" t="n"/>
      <c r="Q629" s="4" t="n"/>
      <c r="R629" s="4" t="n"/>
      <c r="S629" s="4" t="n"/>
      <c r="T629" s="4" t="n"/>
      <c r="U629" s="4" t="n"/>
      <c r="V629" s="4" t="n"/>
      <c r="W629" s="4" t="n"/>
    </row>
    <row r="630" ht="15.75" customHeight="1" s="19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/>
      <c r="M630" s="4" t="n"/>
      <c r="N630" s="4" t="n"/>
      <c r="O630" s="4" t="n"/>
      <c r="P630" s="4" t="n"/>
      <c r="Q630" s="4" t="n"/>
      <c r="R630" s="4" t="n"/>
      <c r="S630" s="4" t="n"/>
      <c r="T630" s="4" t="n"/>
      <c r="U630" s="4" t="n"/>
      <c r="V630" s="4" t="n"/>
      <c r="W630" s="4" t="n"/>
    </row>
    <row r="631" ht="15.75" customHeight="1" s="19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  <c r="K631" s="4" t="n"/>
      <c r="L631" s="4" t="n"/>
      <c r="M631" s="4" t="n"/>
      <c r="N631" s="4" t="n"/>
      <c r="O631" s="4" t="n"/>
      <c r="P631" s="4" t="n"/>
      <c r="Q631" s="4" t="n"/>
      <c r="R631" s="4" t="n"/>
      <c r="S631" s="4" t="n"/>
      <c r="T631" s="4" t="n"/>
      <c r="U631" s="4" t="n"/>
      <c r="V631" s="4" t="n"/>
      <c r="W631" s="4" t="n"/>
    </row>
    <row r="632" ht="15.75" customHeight="1" s="19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/>
      <c r="M632" s="4" t="n"/>
      <c r="N632" s="4" t="n"/>
      <c r="O632" s="4" t="n"/>
      <c r="P632" s="4" t="n"/>
      <c r="Q632" s="4" t="n"/>
      <c r="R632" s="4" t="n"/>
      <c r="S632" s="4" t="n"/>
      <c r="T632" s="4" t="n"/>
      <c r="U632" s="4" t="n"/>
      <c r="V632" s="4" t="n"/>
      <c r="W632" s="4" t="n"/>
    </row>
    <row r="633" ht="15.75" customHeight="1" s="19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  <c r="K633" s="4" t="n"/>
      <c r="L633" s="4" t="n"/>
      <c r="M633" s="4" t="n"/>
      <c r="N633" s="4" t="n"/>
      <c r="O633" s="4" t="n"/>
      <c r="P633" s="4" t="n"/>
      <c r="Q633" s="4" t="n"/>
      <c r="R633" s="4" t="n"/>
      <c r="S633" s="4" t="n"/>
      <c r="T633" s="4" t="n"/>
      <c r="U633" s="4" t="n"/>
      <c r="V633" s="4" t="n"/>
      <c r="W633" s="4" t="n"/>
    </row>
    <row r="634" ht="15.75" customHeight="1" s="19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/>
      <c r="M634" s="4" t="n"/>
      <c r="N634" s="4" t="n"/>
      <c r="O634" s="4" t="n"/>
      <c r="P634" s="4" t="n"/>
      <c r="Q634" s="4" t="n"/>
      <c r="R634" s="4" t="n"/>
      <c r="S634" s="4" t="n"/>
      <c r="T634" s="4" t="n"/>
      <c r="U634" s="4" t="n"/>
      <c r="V634" s="4" t="n"/>
      <c r="W634" s="4" t="n"/>
    </row>
    <row r="635" ht="15.75" customHeight="1" s="19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  <c r="K635" s="4" t="n"/>
      <c r="L635" s="4" t="n"/>
      <c r="M635" s="4" t="n"/>
      <c r="N635" s="4" t="n"/>
      <c r="O635" s="4" t="n"/>
      <c r="P635" s="4" t="n"/>
      <c r="Q635" s="4" t="n"/>
      <c r="R635" s="4" t="n"/>
      <c r="S635" s="4" t="n"/>
      <c r="T635" s="4" t="n"/>
      <c r="U635" s="4" t="n"/>
      <c r="V635" s="4" t="n"/>
      <c r="W635" s="4" t="n"/>
    </row>
    <row r="636" ht="15.75" customHeight="1" s="19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/>
      <c r="M636" s="4" t="n"/>
      <c r="N636" s="4" t="n"/>
      <c r="O636" s="4" t="n"/>
      <c r="P636" s="4" t="n"/>
      <c r="Q636" s="4" t="n"/>
      <c r="R636" s="4" t="n"/>
      <c r="S636" s="4" t="n"/>
      <c r="T636" s="4" t="n"/>
      <c r="U636" s="4" t="n"/>
      <c r="V636" s="4" t="n"/>
      <c r="W636" s="4" t="n"/>
    </row>
    <row r="637" ht="15.75" customHeight="1" s="19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  <c r="K637" s="4" t="n"/>
      <c r="L637" s="4" t="n"/>
      <c r="M637" s="4" t="n"/>
      <c r="N637" s="4" t="n"/>
      <c r="O637" s="4" t="n"/>
      <c r="P637" s="4" t="n"/>
      <c r="Q637" s="4" t="n"/>
      <c r="R637" s="4" t="n"/>
      <c r="S637" s="4" t="n"/>
      <c r="T637" s="4" t="n"/>
      <c r="U637" s="4" t="n"/>
      <c r="V637" s="4" t="n"/>
      <c r="W637" s="4" t="n"/>
    </row>
    <row r="638" ht="15.75" customHeight="1" s="19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  <c r="K638" s="4" t="n"/>
      <c r="L638" s="4" t="n"/>
      <c r="M638" s="4" t="n"/>
      <c r="N638" s="4" t="n"/>
      <c r="O638" s="4" t="n"/>
      <c r="P638" s="4" t="n"/>
      <c r="Q638" s="4" t="n"/>
      <c r="R638" s="4" t="n"/>
      <c r="S638" s="4" t="n"/>
      <c r="T638" s="4" t="n"/>
      <c r="U638" s="4" t="n"/>
      <c r="V638" s="4" t="n"/>
      <c r="W638" s="4" t="n"/>
    </row>
    <row r="639" ht="15.75" customHeight="1" s="19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  <c r="K639" s="4" t="n"/>
      <c r="L639" s="4" t="n"/>
      <c r="M639" s="4" t="n"/>
      <c r="N639" s="4" t="n"/>
      <c r="O639" s="4" t="n"/>
      <c r="P639" s="4" t="n"/>
      <c r="Q639" s="4" t="n"/>
      <c r="R639" s="4" t="n"/>
      <c r="S639" s="4" t="n"/>
      <c r="T639" s="4" t="n"/>
      <c r="U639" s="4" t="n"/>
      <c r="V639" s="4" t="n"/>
      <c r="W639" s="4" t="n"/>
    </row>
    <row r="640" ht="15.75" customHeight="1" s="19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  <c r="K640" s="4" t="n"/>
      <c r="L640" s="4" t="n"/>
      <c r="M640" s="4" t="n"/>
      <c r="N640" s="4" t="n"/>
      <c r="O640" s="4" t="n"/>
      <c r="P640" s="4" t="n"/>
      <c r="Q640" s="4" t="n"/>
      <c r="R640" s="4" t="n"/>
      <c r="S640" s="4" t="n"/>
      <c r="T640" s="4" t="n"/>
      <c r="U640" s="4" t="n"/>
      <c r="V640" s="4" t="n"/>
      <c r="W640" s="4" t="n"/>
    </row>
    <row r="641" ht="15.75" customHeight="1" s="19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  <c r="K641" s="4" t="n"/>
      <c r="L641" s="4" t="n"/>
      <c r="M641" s="4" t="n"/>
      <c r="N641" s="4" t="n"/>
      <c r="O641" s="4" t="n"/>
      <c r="P641" s="4" t="n"/>
      <c r="Q641" s="4" t="n"/>
      <c r="R641" s="4" t="n"/>
      <c r="S641" s="4" t="n"/>
      <c r="T641" s="4" t="n"/>
      <c r="U641" s="4" t="n"/>
      <c r="V641" s="4" t="n"/>
      <c r="W641" s="4" t="n"/>
    </row>
    <row r="642" ht="15.75" customHeight="1" s="19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  <c r="K642" s="4" t="n"/>
      <c r="L642" s="4" t="n"/>
      <c r="M642" s="4" t="n"/>
      <c r="N642" s="4" t="n"/>
      <c r="O642" s="4" t="n"/>
      <c r="P642" s="4" t="n"/>
      <c r="Q642" s="4" t="n"/>
      <c r="R642" s="4" t="n"/>
      <c r="S642" s="4" t="n"/>
      <c r="T642" s="4" t="n"/>
      <c r="U642" s="4" t="n"/>
      <c r="V642" s="4" t="n"/>
      <c r="W642" s="4" t="n"/>
    </row>
    <row r="643" ht="15.75" customHeight="1" s="19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  <c r="K643" s="4" t="n"/>
      <c r="L643" s="4" t="n"/>
      <c r="M643" s="4" t="n"/>
      <c r="N643" s="4" t="n"/>
      <c r="O643" s="4" t="n"/>
      <c r="P643" s="4" t="n"/>
      <c r="Q643" s="4" t="n"/>
      <c r="R643" s="4" t="n"/>
      <c r="S643" s="4" t="n"/>
      <c r="T643" s="4" t="n"/>
      <c r="U643" s="4" t="n"/>
      <c r="V643" s="4" t="n"/>
      <c r="W643" s="4" t="n"/>
    </row>
    <row r="644" ht="15.75" customHeight="1" s="19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  <c r="K644" s="4" t="n"/>
      <c r="L644" s="4" t="n"/>
      <c r="M644" s="4" t="n"/>
      <c r="N644" s="4" t="n"/>
      <c r="O644" s="4" t="n"/>
      <c r="P644" s="4" t="n"/>
      <c r="Q644" s="4" t="n"/>
      <c r="R644" s="4" t="n"/>
      <c r="S644" s="4" t="n"/>
      <c r="T644" s="4" t="n"/>
      <c r="U644" s="4" t="n"/>
      <c r="V644" s="4" t="n"/>
      <c r="W644" s="4" t="n"/>
    </row>
    <row r="645" ht="15.75" customHeight="1" s="19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  <c r="K645" s="4" t="n"/>
      <c r="L645" s="4" t="n"/>
      <c r="M645" s="4" t="n"/>
      <c r="N645" s="4" t="n"/>
      <c r="O645" s="4" t="n"/>
      <c r="P645" s="4" t="n"/>
      <c r="Q645" s="4" t="n"/>
      <c r="R645" s="4" t="n"/>
      <c r="S645" s="4" t="n"/>
      <c r="T645" s="4" t="n"/>
      <c r="U645" s="4" t="n"/>
      <c r="V645" s="4" t="n"/>
      <c r="W645" s="4" t="n"/>
    </row>
    <row r="646" ht="15.75" customHeight="1" s="19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  <c r="K646" s="4" t="n"/>
      <c r="L646" s="4" t="n"/>
      <c r="M646" s="4" t="n"/>
      <c r="N646" s="4" t="n"/>
      <c r="O646" s="4" t="n"/>
      <c r="P646" s="4" t="n"/>
      <c r="Q646" s="4" t="n"/>
      <c r="R646" s="4" t="n"/>
      <c r="S646" s="4" t="n"/>
      <c r="T646" s="4" t="n"/>
      <c r="U646" s="4" t="n"/>
      <c r="V646" s="4" t="n"/>
      <c r="W646" s="4" t="n"/>
    </row>
    <row r="647" ht="15.75" customHeight="1" s="19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  <c r="K647" s="4" t="n"/>
      <c r="L647" s="4" t="n"/>
      <c r="M647" s="4" t="n"/>
      <c r="N647" s="4" t="n"/>
      <c r="O647" s="4" t="n"/>
      <c r="P647" s="4" t="n"/>
      <c r="Q647" s="4" t="n"/>
      <c r="R647" s="4" t="n"/>
      <c r="S647" s="4" t="n"/>
      <c r="T647" s="4" t="n"/>
      <c r="U647" s="4" t="n"/>
      <c r="V647" s="4" t="n"/>
      <c r="W647" s="4" t="n"/>
    </row>
    <row r="648" ht="15.75" customHeight="1" s="19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  <c r="K648" s="4" t="n"/>
      <c r="L648" s="4" t="n"/>
      <c r="M648" s="4" t="n"/>
      <c r="N648" s="4" t="n"/>
      <c r="O648" s="4" t="n"/>
      <c r="P648" s="4" t="n"/>
      <c r="Q648" s="4" t="n"/>
      <c r="R648" s="4" t="n"/>
      <c r="S648" s="4" t="n"/>
      <c r="T648" s="4" t="n"/>
      <c r="U648" s="4" t="n"/>
      <c r="V648" s="4" t="n"/>
      <c r="W648" s="4" t="n"/>
    </row>
    <row r="649" ht="15.75" customHeight="1" s="19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  <c r="K649" s="4" t="n"/>
      <c r="L649" s="4" t="n"/>
      <c r="M649" s="4" t="n"/>
      <c r="N649" s="4" t="n"/>
      <c r="O649" s="4" t="n"/>
      <c r="P649" s="4" t="n"/>
      <c r="Q649" s="4" t="n"/>
      <c r="R649" s="4" t="n"/>
      <c r="S649" s="4" t="n"/>
      <c r="T649" s="4" t="n"/>
      <c r="U649" s="4" t="n"/>
      <c r="V649" s="4" t="n"/>
      <c r="W649" s="4" t="n"/>
    </row>
    <row r="650" ht="15.75" customHeight="1" s="19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  <c r="K650" s="4" t="n"/>
      <c r="L650" s="4" t="n"/>
      <c r="M650" s="4" t="n"/>
      <c r="N650" s="4" t="n"/>
      <c r="O650" s="4" t="n"/>
      <c r="P650" s="4" t="n"/>
      <c r="Q650" s="4" t="n"/>
      <c r="R650" s="4" t="n"/>
      <c r="S650" s="4" t="n"/>
      <c r="T650" s="4" t="n"/>
      <c r="U650" s="4" t="n"/>
      <c r="V650" s="4" t="n"/>
      <c r="W650" s="4" t="n"/>
    </row>
    <row r="651" ht="15.75" customHeight="1" s="19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  <c r="K651" s="4" t="n"/>
      <c r="L651" s="4" t="n"/>
      <c r="M651" s="4" t="n"/>
      <c r="N651" s="4" t="n"/>
      <c r="O651" s="4" t="n"/>
      <c r="P651" s="4" t="n"/>
      <c r="Q651" s="4" t="n"/>
      <c r="R651" s="4" t="n"/>
      <c r="S651" s="4" t="n"/>
      <c r="T651" s="4" t="n"/>
      <c r="U651" s="4" t="n"/>
      <c r="V651" s="4" t="n"/>
      <c r="W651" s="4" t="n"/>
    </row>
    <row r="652" ht="15.75" customHeight="1" s="19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  <c r="K652" s="4" t="n"/>
      <c r="L652" s="4" t="n"/>
      <c r="M652" s="4" t="n"/>
      <c r="N652" s="4" t="n"/>
      <c r="O652" s="4" t="n"/>
      <c r="P652" s="4" t="n"/>
      <c r="Q652" s="4" t="n"/>
      <c r="R652" s="4" t="n"/>
      <c r="S652" s="4" t="n"/>
      <c r="T652" s="4" t="n"/>
      <c r="U652" s="4" t="n"/>
      <c r="V652" s="4" t="n"/>
      <c r="W652" s="4" t="n"/>
    </row>
    <row r="653" ht="15.75" customHeight="1" s="19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  <c r="K653" s="4" t="n"/>
      <c r="L653" s="4" t="n"/>
      <c r="M653" s="4" t="n"/>
      <c r="N653" s="4" t="n"/>
      <c r="O653" s="4" t="n"/>
      <c r="P653" s="4" t="n"/>
      <c r="Q653" s="4" t="n"/>
      <c r="R653" s="4" t="n"/>
      <c r="S653" s="4" t="n"/>
      <c r="T653" s="4" t="n"/>
      <c r="U653" s="4" t="n"/>
      <c r="V653" s="4" t="n"/>
      <c r="W653" s="4" t="n"/>
    </row>
    <row r="654" ht="15.75" customHeight="1" s="19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  <c r="K654" s="4" t="n"/>
      <c r="L654" s="4" t="n"/>
      <c r="M654" s="4" t="n"/>
      <c r="N654" s="4" t="n"/>
      <c r="O654" s="4" t="n"/>
      <c r="P654" s="4" t="n"/>
      <c r="Q654" s="4" t="n"/>
      <c r="R654" s="4" t="n"/>
      <c r="S654" s="4" t="n"/>
      <c r="T654" s="4" t="n"/>
      <c r="U654" s="4" t="n"/>
      <c r="V654" s="4" t="n"/>
      <c r="W654" s="4" t="n"/>
    </row>
    <row r="655" ht="15.75" customHeight="1" s="19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  <c r="K655" s="4" t="n"/>
      <c r="L655" s="4" t="n"/>
      <c r="M655" s="4" t="n"/>
      <c r="N655" s="4" t="n"/>
      <c r="O655" s="4" t="n"/>
      <c r="P655" s="4" t="n"/>
      <c r="Q655" s="4" t="n"/>
      <c r="R655" s="4" t="n"/>
      <c r="S655" s="4" t="n"/>
      <c r="T655" s="4" t="n"/>
      <c r="U655" s="4" t="n"/>
      <c r="V655" s="4" t="n"/>
      <c r="W655" s="4" t="n"/>
    </row>
    <row r="656" ht="15.75" customHeight="1" s="19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  <c r="K656" s="4" t="n"/>
      <c r="L656" s="4" t="n"/>
      <c r="M656" s="4" t="n"/>
      <c r="N656" s="4" t="n"/>
      <c r="O656" s="4" t="n"/>
      <c r="P656" s="4" t="n"/>
      <c r="Q656" s="4" t="n"/>
      <c r="R656" s="4" t="n"/>
      <c r="S656" s="4" t="n"/>
      <c r="T656" s="4" t="n"/>
      <c r="U656" s="4" t="n"/>
      <c r="V656" s="4" t="n"/>
      <c r="W656" s="4" t="n"/>
    </row>
    <row r="657" ht="15.75" customHeight="1" s="19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  <c r="K657" s="4" t="n"/>
      <c r="L657" s="4" t="n"/>
      <c r="M657" s="4" t="n"/>
      <c r="N657" s="4" t="n"/>
      <c r="O657" s="4" t="n"/>
      <c r="P657" s="4" t="n"/>
      <c r="Q657" s="4" t="n"/>
      <c r="R657" s="4" t="n"/>
      <c r="S657" s="4" t="n"/>
      <c r="T657" s="4" t="n"/>
      <c r="U657" s="4" t="n"/>
      <c r="V657" s="4" t="n"/>
      <c r="W657" s="4" t="n"/>
    </row>
    <row r="658" ht="15.75" customHeight="1" s="19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  <c r="K658" s="4" t="n"/>
      <c r="L658" s="4" t="n"/>
      <c r="M658" s="4" t="n"/>
      <c r="N658" s="4" t="n"/>
      <c r="O658" s="4" t="n"/>
      <c r="P658" s="4" t="n"/>
      <c r="Q658" s="4" t="n"/>
      <c r="R658" s="4" t="n"/>
      <c r="S658" s="4" t="n"/>
      <c r="T658" s="4" t="n"/>
      <c r="U658" s="4" t="n"/>
      <c r="V658" s="4" t="n"/>
      <c r="W658" s="4" t="n"/>
    </row>
    <row r="659" ht="15.75" customHeight="1" s="19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  <c r="K659" s="4" t="n"/>
      <c r="L659" s="4" t="n"/>
      <c r="M659" s="4" t="n"/>
      <c r="N659" s="4" t="n"/>
      <c r="O659" s="4" t="n"/>
      <c r="P659" s="4" t="n"/>
      <c r="Q659" s="4" t="n"/>
      <c r="R659" s="4" t="n"/>
      <c r="S659" s="4" t="n"/>
      <c r="T659" s="4" t="n"/>
      <c r="U659" s="4" t="n"/>
      <c r="V659" s="4" t="n"/>
      <c r="W659" s="4" t="n"/>
    </row>
    <row r="660" ht="15.75" customHeight="1" s="19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  <c r="K660" s="4" t="n"/>
      <c r="L660" s="4" t="n"/>
      <c r="M660" s="4" t="n"/>
      <c r="N660" s="4" t="n"/>
      <c r="O660" s="4" t="n"/>
      <c r="P660" s="4" t="n"/>
      <c r="Q660" s="4" t="n"/>
      <c r="R660" s="4" t="n"/>
      <c r="S660" s="4" t="n"/>
      <c r="T660" s="4" t="n"/>
      <c r="U660" s="4" t="n"/>
      <c r="V660" s="4" t="n"/>
      <c r="W660" s="4" t="n"/>
    </row>
    <row r="661" ht="15.75" customHeight="1" s="19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  <c r="K661" s="4" t="n"/>
      <c r="L661" s="4" t="n"/>
      <c r="M661" s="4" t="n"/>
      <c r="N661" s="4" t="n"/>
      <c r="O661" s="4" t="n"/>
      <c r="P661" s="4" t="n"/>
      <c r="Q661" s="4" t="n"/>
      <c r="R661" s="4" t="n"/>
      <c r="S661" s="4" t="n"/>
      <c r="T661" s="4" t="n"/>
      <c r="U661" s="4" t="n"/>
      <c r="V661" s="4" t="n"/>
      <c r="W661" s="4" t="n"/>
    </row>
    <row r="662" ht="15.75" customHeight="1" s="19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  <c r="K662" s="4" t="n"/>
      <c r="L662" s="4" t="n"/>
      <c r="M662" s="4" t="n"/>
      <c r="N662" s="4" t="n"/>
      <c r="O662" s="4" t="n"/>
      <c r="P662" s="4" t="n"/>
      <c r="Q662" s="4" t="n"/>
      <c r="R662" s="4" t="n"/>
      <c r="S662" s="4" t="n"/>
      <c r="T662" s="4" t="n"/>
      <c r="U662" s="4" t="n"/>
      <c r="V662" s="4" t="n"/>
      <c r="W662" s="4" t="n"/>
    </row>
    <row r="663" ht="15.75" customHeight="1" s="19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  <c r="K663" s="4" t="n"/>
      <c r="L663" s="4" t="n"/>
      <c r="M663" s="4" t="n"/>
      <c r="N663" s="4" t="n"/>
      <c r="O663" s="4" t="n"/>
      <c r="P663" s="4" t="n"/>
      <c r="Q663" s="4" t="n"/>
      <c r="R663" s="4" t="n"/>
      <c r="S663" s="4" t="n"/>
      <c r="T663" s="4" t="n"/>
      <c r="U663" s="4" t="n"/>
      <c r="V663" s="4" t="n"/>
      <c r="W663" s="4" t="n"/>
    </row>
    <row r="664" ht="15.75" customHeight="1" s="19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  <c r="K664" s="4" t="n"/>
      <c r="L664" s="4" t="n"/>
      <c r="M664" s="4" t="n"/>
      <c r="N664" s="4" t="n"/>
      <c r="O664" s="4" t="n"/>
      <c r="P664" s="4" t="n"/>
      <c r="Q664" s="4" t="n"/>
      <c r="R664" s="4" t="n"/>
      <c r="S664" s="4" t="n"/>
      <c r="T664" s="4" t="n"/>
      <c r="U664" s="4" t="n"/>
      <c r="V664" s="4" t="n"/>
      <c r="W664" s="4" t="n"/>
    </row>
    <row r="665" ht="15.75" customHeight="1" s="19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  <c r="K665" s="4" t="n"/>
      <c r="L665" s="4" t="n"/>
      <c r="M665" s="4" t="n"/>
      <c r="N665" s="4" t="n"/>
      <c r="O665" s="4" t="n"/>
      <c r="P665" s="4" t="n"/>
      <c r="Q665" s="4" t="n"/>
      <c r="R665" s="4" t="n"/>
      <c r="S665" s="4" t="n"/>
      <c r="T665" s="4" t="n"/>
      <c r="U665" s="4" t="n"/>
      <c r="V665" s="4" t="n"/>
      <c r="W665" s="4" t="n"/>
    </row>
    <row r="666" ht="15.75" customHeight="1" s="19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  <c r="K666" s="4" t="n"/>
      <c r="L666" s="4" t="n"/>
      <c r="M666" s="4" t="n"/>
      <c r="N666" s="4" t="n"/>
      <c r="O666" s="4" t="n"/>
      <c r="P666" s="4" t="n"/>
      <c r="Q666" s="4" t="n"/>
      <c r="R666" s="4" t="n"/>
      <c r="S666" s="4" t="n"/>
      <c r="T666" s="4" t="n"/>
      <c r="U666" s="4" t="n"/>
      <c r="V666" s="4" t="n"/>
      <c r="W666" s="4" t="n"/>
    </row>
    <row r="667" ht="15.75" customHeight="1" s="19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  <c r="K667" s="4" t="n"/>
      <c r="L667" s="4" t="n"/>
      <c r="M667" s="4" t="n"/>
      <c r="N667" s="4" t="n"/>
      <c r="O667" s="4" t="n"/>
      <c r="P667" s="4" t="n"/>
      <c r="Q667" s="4" t="n"/>
      <c r="R667" s="4" t="n"/>
      <c r="S667" s="4" t="n"/>
      <c r="T667" s="4" t="n"/>
      <c r="U667" s="4" t="n"/>
      <c r="V667" s="4" t="n"/>
      <c r="W667" s="4" t="n"/>
    </row>
    <row r="668" ht="15.75" customHeight="1" s="19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  <c r="K668" s="4" t="n"/>
      <c r="L668" s="4" t="n"/>
      <c r="M668" s="4" t="n"/>
      <c r="N668" s="4" t="n"/>
      <c r="O668" s="4" t="n"/>
      <c r="P668" s="4" t="n"/>
      <c r="Q668" s="4" t="n"/>
      <c r="R668" s="4" t="n"/>
      <c r="S668" s="4" t="n"/>
      <c r="T668" s="4" t="n"/>
      <c r="U668" s="4" t="n"/>
      <c r="V668" s="4" t="n"/>
      <c r="W668" s="4" t="n"/>
    </row>
    <row r="669" ht="15.75" customHeight="1" s="19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  <c r="K669" s="4" t="n"/>
      <c r="L669" s="4" t="n"/>
      <c r="M669" s="4" t="n"/>
      <c r="N669" s="4" t="n"/>
      <c r="O669" s="4" t="n"/>
      <c r="P669" s="4" t="n"/>
      <c r="Q669" s="4" t="n"/>
      <c r="R669" s="4" t="n"/>
      <c r="S669" s="4" t="n"/>
      <c r="T669" s="4" t="n"/>
      <c r="U669" s="4" t="n"/>
      <c r="V669" s="4" t="n"/>
      <c r="W669" s="4" t="n"/>
    </row>
    <row r="670" ht="15.75" customHeight="1" s="19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  <c r="K670" s="4" t="n"/>
      <c r="L670" s="4" t="n"/>
      <c r="M670" s="4" t="n"/>
      <c r="N670" s="4" t="n"/>
      <c r="O670" s="4" t="n"/>
      <c r="P670" s="4" t="n"/>
      <c r="Q670" s="4" t="n"/>
      <c r="R670" s="4" t="n"/>
      <c r="S670" s="4" t="n"/>
      <c r="T670" s="4" t="n"/>
      <c r="U670" s="4" t="n"/>
      <c r="V670" s="4" t="n"/>
      <c r="W670" s="4" t="n"/>
    </row>
    <row r="671" ht="15.75" customHeight="1" s="19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  <c r="K671" s="4" t="n"/>
      <c r="L671" s="4" t="n"/>
      <c r="M671" s="4" t="n"/>
      <c r="N671" s="4" t="n"/>
      <c r="O671" s="4" t="n"/>
      <c r="P671" s="4" t="n"/>
      <c r="Q671" s="4" t="n"/>
      <c r="R671" s="4" t="n"/>
      <c r="S671" s="4" t="n"/>
      <c r="T671" s="4" t="n"/>
      <c r="U671" s="4" t="n"/>
      <c r="V671" s="4" t="n"/>
      <c r="W671" s="4" t="n"/>
    </row>
    <row r="672" ht="15.75" customHeight="1" s="19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  <c r="K672" s="4" t="n"/>
      <c r="L672" s="4" t="n"/>
      <c r="M672" s="4" t="n"/>
      <c r="N672" s="4" t="n"/>
      <c r="O672" s="4" t="n"/>
      <c r="P672" s="4" t="n"/>
      <c r="Q672" s="4" t="n"/>
      <c r="R672" s="4" t="n"/>
      <c r="S672" s="4" t="n"/>
      <c r="T672" s="4" t="n"/>
      <c r="U672" s="4" t="n"/>
      <c r="V672" s="4" t="n"/>
      <c r="W672" s="4" t="n"/>
    </row>
    <row r="673" ht="15.75" customHeight="1" s="19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  <c r="K673" s="4" t="n"/>
      <c r="L673" s="4" t="n"/>
      <c r="M673" s="4" t="n"/>
      <c r="N673" s="4" t="n"/>
      <c r="O673" s="4" t="n"/>
      <c r="P673" s="4" t="n"/>
      <c r="Q673" s="4" t="n"/>
      <c r="R673" s="4" t="n"/>
      <c r="S673" s="4" t="n"/>
      <c r="T673" s="4" t="n"/>
      <c r="U673" s="4" t="n"/>
      <c r="V673" s="4" t="n"/>
      <c r="W673" s="4" t="n"/>
    </row>
    <row r="674" ht="15.75" customHeight="1" s="19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  <c r="K674" s="4" t="n"/>
      <c r="L674" s="4" t="n"/>
      <c r="M674" s="4" t="n"/>
      <c r="N674" s="4" t="n"/>
      <c r="O674" s="4" t="n"/>
      <c r="P674" s="4" t="n"/>
      <c r="Q674" s="4" t="n"/>
      <c r="R674" s="4" t="n"/>
      <c r="S674" s="4" t="n"/>
      <c r="T674" s="4" t="n"/>
      <c r="U674" s="4" t="n"/>
      <c r="V674" s="4" t="n"/>
      <c r="W674" s="4" t="n"/>
    </row>
    <row r="675" ht="15.75" customHeight="1" s="19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  <c r="K675" s="4" t="n"/>
      <c r="L675" s="4" t="n"/>
      <c r="M675" s="4" t="n"/>
      <c r="N675" s="4" t="n"/>
      <c r="O675" s="4" t="n"/>
      <c r="P675" s="4" t="n"/>
      <c r="Q675" s="4" t="n"/>
      <c r="R675" s="4" t="n"/>
      <c r="S675" s="4" t="n"/>
      <c r="T675" s="4" t="n"/>
      <c r="U675" s="4" t="n"/>
      <c r="V675" s="4" t="n"/>
      <c r="W675" s="4" t="n"/>
    </row>
    <row r="676" ht="15.75" customHeight="1" s="19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  <c r="K676" s="4" t="n"/>
      <c r="L676" s="4" t="n"/>
      <c r="M676" s="4" t="n"/>
      <c r="N676" s="4" t="n"/>
      <c r="O676" s="4" t="n"/>
      <c r="P676" s="4" t="n"/>
      <c r="Q676" s="4" t="n"/>
      <c r="R676" s="4" t="n"/>
      <c r="S676" s="4" t="n"/>
      <c r="T676" s="4" t="n"/>
      <c r="U676" s="4" t="n"/>
      <c r="V676" s="4" t="n"/>
      <c r="W676" s="4" t="n"/>
    </row>
    <row r="677" ht="15.75" customHeight="1" s="19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  <c r="K677" s="4" t="n"/>
      <c r="L677" s="4" t="n"/>
      <c r="M677" s="4" t="n"/>
      <c r="N677" s="4" t="n"/>
      <c r="O677" s="4" t="n"/>
      <c r="P677" s="4" t="n"/>
      <c r="Q677" s="4" t="n"/>
      <c r="R677" s="4" t="n"/>
      <c r="S677" s="4" t="n"/>
      <c r="T677" s="4" t="n"/>
      <c r="U677" s="4" t="n"/>
      <c r="V677" s="4" t="n"/>
      <c r="W677" s="4" t="n"/>
    </row>
    <row r="678" ht="15.75" customHeight="1" s="19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  <c r="K678" s="4" t="n"/>
      <c r="L678" s="4" t="n"/>
      <c r="M678" s="4" t="n"/>
      <c r="N678" s="4" t="n"/>
      <c r="O678" s="4" t="n"/>
      <c r="P678" s="4" t="n"/>
      <c r="Q678" s="4" t="n"/>
      <c r="R678" s="4" t="n"/>
      <c r="S678" s="4" t="n"/>
      <c r="T678" s="4" t="n"/>
      <c r="U678" s="4" t="n"/>
      <c r="V678" s="4" t="n"/>
      <c r="W678" s="4" t="n"/>
    </row>
    <row r="679" ht="15.75" customHeight="1" s="19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  <c r="K679" s="4" t="n"/>
      <c r="L679" s="4" t="n"/>
      <c r="M679" s="4" t="n"/>
      <c r="N679" s="4" t="n"/>
      <c r="O679" s="4" t="n"/>
      <c r="P679" s="4" t="n"/>
      <c r="Q679" s="4" t="n"/>
      <c r="R679" s="4" t="n"/>
      <c r="S679" s="4" t="n"/>
      <c r="T679" s="4" t="n"/>
      <c r="U679" s="4" t="n"/>
      <c r="V679" s="4" t="n"/>
      <c r="W679" s="4" t="n"/>
    </row>
    <row r="680" ht="15.75" customHeight="1" s="19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  <c r="K680" s="4" t="n"/>
      <c r="L680" s="4" t="n"/>
      <c r="M680" s="4" t="n"/>
      <c r="N680" s="4" t="n"/>
      <c r="O680" s="4" t="n"/>
      <c r="P680" s="4" t="n"/>
      <c r="Q680" s="4" t="n"/>
      <c r="R680" s="4" t="n"/>
      <c r="S680" s="4" t="n"/>
      <c r="T680" s="4" t="n"/>
      <c r="U680" s="4" t="n"/>
      <c r="V680" s="4" t="n"/>
      <c r="W680" s="4" t="n"/>
    </row>
    <row r="681" ht="15.75" customHeight="1" s="19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  <c r="K681" s="4" t="n"/>
      <c r="L681" s="4" t="n"/>
      <c r="M681" s="4" t="n"/>
      <c r="N681" s="4" t="n"/>
      <c r="O681" s="4" t="n"/>
      <c r="P681" s="4" t="n"/>
      <c r="Q681" s="4" t="n"/>
      <c r="R681" s="4" t="n"/>
      <c r="S681" s="4" t="n"/>
      <c r="T681" s="4" t="n"/>
      <c r="U681" s="4" t="n"/>
      <c r="V681" s="4" t="n"/>
      <c r="W681" s="4" t="n"/>
    </row>
    <row r="682" ht="15.75" customHeight="1" s="19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  <c r="K682" s="4" t="n"/>
      <c r="L682" s="4" t="n"/>
      <c r="M682" s="4" t="n"/>
      <c r="N682" s="4" t="n"/>
      <c r="O682" s="4" t="n"/>
      <c r="P682" s="4" t="n"/>
      <c r="Q682" s="4" t="n"/>
      <c r="R682" s="4" t="n"/>
      <c r="S682" s="4" t="n"/>
      <c r="T682" s="4" t="n"/>
      <c r="U682" s="4" t="n"/>
      <c r="V682" s="4" t="n"/>
      <c r="W682" s="4" t="n"/>
    </row>
    <row r="683" ht="15.75" customHeight="1" s="19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  <c r="K683" s="4" t="n"/>
      <c r="L683" s="4" t="n"/>
      <c r="M683" s="4" t="n"/>
      <c r="N683" s="4" t="n"/>
      <c r="O683" s="4" t="n"/>
      <c r="P683" s="4" t="n"/>
      <c r="Q683" s="4" t="n"/>
      <c r="R683" s="4" t="n"/>
      <c r="S683" s="4" t="n"/>
      <c r="T683" s="4" t="n"/>
      <c r="U683" s="4" t="n"/>
      <c r="V683" s="4" t="n"/>
      <c r="W683" s="4" t="n"/>
    </row>
    <row r="684" ht="15.75" customHeight="1" s="19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  <c r="K684" s="4" t="n"/>
      <c r="L684" s="4" t="n"/>
      <c r="M684" s="4" t="n"/>
      <c r="N684" s="4" t="n"/>
      <c r="O684" s="4" t="n"/>
      <c r="P684" s="4" t="n"/>
      <c r="Q684" s="4" t="n"/>
      <c r="R684" s="4" t="n"/>
      <c r="S684" s="4" t="n"/>
      <c r="T684" s="4" t="n"/>
      <c r="U684" s="4" t="n"/>
      <c r="V684" s="4" t="n"/>
      <c r="W684" s="4" t="n"/>
    </row>
    <row r="685" ht="15.75" customHeight="1" s="19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  <c r="K685" s="4" t="n"/>
      <c r="L685" s="4" t="n"/>
      <c r="M685" s="4" t="n"/>
      <c r="N685" s="4" t="n"/>
      <c r="O685" s="4" t="n"/>
      <c r="P685" s="4" t="n"/>
      <c r="Q685" s="4" t="n"/>
      <c r="R685" s="4" t="n"/>
      <c r="S685" s="4" t="n"/>
      <c r="T685" s="4" t="n"/>
      <c r="U685" s="4" t="n"/>
      <c r="V685" s="4" t="n"/>
      <c r="W685" s="4" t="n"/>
    </row>
    <row r="686" ht="15.75" customHeight="1" s="19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  <c r="K686" s="4" t="n"/>
      <c r="L686" s="4" t="n"/>
      <c r="M686" s="4" t="n"/>
      <c r="N686" s="4" t="n"/>
      <c r="O686" s="4" t="n"/>
      <c r="P686" s="4" t="n"/>
      <c r="Q686" s="4" t="n"/>
      <c r="R686" s="4" t="n"/>
      <c r="S686" s="4" t="n"/>
      <c r="T686" s="4" t="n"/>
      <c r="U686" s="4" t="n"/>
      <c r="V686" s="4" t="n"/>
      <c r="W686" s="4" t="n"/>
    </row>
    <row r="687" ht="15.75" customHeight="1" s="19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  <c r="K687" s="4" t="n"/>
      <c r="L687" s="4" t="n"/>
      <c r="M687" s="4" t="n"/>
      <c r="N687" s="4" t="n"/>
      <c r="O687" s="4" t="n"/>
      <c r="P687" s="4" t="n"/>
      <c r="Q687" s="4" t="n"/>
      <c r="R687" s="4" t="n"/>
      <c r="S687" s="4" t="n"/>
      <c r="T687" s="4" t="n"/>
      <c r="U687" s="4" t="n"/>
      <c r="V687" s="4" t="n"/>
      <c r="W687" s="4" t="n"/>
    </row>
    <row r="688" ht="15.75" customHeight="1" s="19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  <c r="K688" s="4" t="n"/>
      <c r="L688" s="4" t="n"/>
      <c r="M688" s="4" t="n"/>
      <c r="N688" s="4" t="n"/>
      <c r="O688" s="4" t="n"/>
      <c r="P688" s="4" t="n"/>
      <c r="Q688" s="4" t="n"/>
      <c r="R688" s="4" t="n"/>
      <c r="S688" s="4" t="n"/>
      <c r="T688" s="4" t="n"/>
      <c r="U688" s="4" t="n"/>
      <c r="V688" s="4" t="n"/>
      <c r="W688" s="4" t="n"/>
    </row>
    <row r="689" ht="15.75" customHeight="1" s="19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  <c r="K689" s="4" t="n"/>
      <c r="L689" s="4" t="n"/>
      <c r="M689" s="4" t="n"/>
      <c r="N689" s="4" t="n"/>
      <c r="O689" s="4" t="n"/>
      <c r="P689" s="4" t="n"/>
      <c r="Q689" s="4" t="n"/>
      <c r="R689" s="4" t="n"/>
      <c r="S689" s="4" t="n"/>
      <c r="T689" s="4" t="n"/>
      <c r="U689" s="4" t="n"/>
      <c r="V689" s="4" t="n"/>
      <c r="W689" s="4" t="n"/>
    </row>
    <row r="690" ht="15.75" customHeight="1" s="19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  <c r="K690" s="4" t="n"/>
      <c r="L690" s="4" t="n"/>
      <c r="M690" s="4" t="n"/>
      <c r="N690" s="4" t="n"/>
      <c r="O690" s="4" t="n"/>
      <c r="P690" s="4" t="n"/>
      <c r="Q690" s="4" t="n"/>
      <c r="R690" s="4" t="n"/>
      <c r="S690" s="4" t="n"/>
      <c r="T690" s="4" t="n"/>
      <c r="U690" s="4" t="n"/>
      <c r="V690" s="4" t="n"/>
      <c r="W690" s="4" t="n"/>
    </row>
    <row r="691" ht="15.75" customHeight="1" s="19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  <c r="K691" s="4" t="n"/>
      <c r="L691" s="4" t="n"/>
      <c r="M691" s="4" t="n"/>
      <c r="N691" s="4" t="n"/>
      <c r="O691" s="4" t="n"/>
      <c r="P691" s="4" t="n"/>
      <c r="Q691" s="4" t="n"/>
      <c r="R691" s="4" t="n"/>
      <c r="S691" s="4" t="n"/>
      <c r="T691" s="4" t="n"/>
      <c r="U691" s="4" t="n"/>
      <c r="V691" s="4" t="n"/>
      <c r="W691" s="4" t="n"/>
    </row>
    <row r="692" ht="15.75" customHeight="1" s="19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  <c r="K692" s="4" t="n"/>
      <c r="L692" s="4" t="n"/>
      <c r="M692" s="4" t="n"/>
      <c r="N692" s="4" t="n"/>
      <c r="O692" s="4" t="n"/>
      <c r="P692" s="4" t="n"/>
      <c r="Q692" s="4" t="n"/>
      <c r="R692" s="4" t="n"/>
      <c r="S692" s="4" t="n"/>
      <c r="T692" s="4" t="n"/>
      <c r="U692" s="4" t="n"/>
      <c r="V692" s="4" t="n"/>
      <c r="W692" s="4" t="n"/>
    </row>
    <row r="693" ht="15.75" customHeight="1" s="19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  <c r="K693" s="4" t="n"/>
      <c r="L693" s="4" t="n"/>
      <c r="M693" s="4" t="n"/>
      <c r="N693" s="4" t="n"/>
      <c r="O693" s="4" t="n"/>
      <c r="P693" s="4" t="n"/>
      <c r="Q693" s="4" t="n"/>
      <c r="R693" s="4" t="n"/>
      <c r="S693" s="4" t="n"/>
      <c r="T693" s="4" t="n"/>
      <c r="U693" s="4" t="n"/>
      <c r="V693" s="4" t="n"/>
      <c r="W693" s="4" t="n"/>
    </row>
    <row r="694" ht="15.75" customHeight="1" s="19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  <c r="K694" s="4" t="n"/>
      <c r="L694" s="4" t="n"/>
      <c r="M694" s="4" t="n"/>
      <c r="N694" s="4" t="n"/>
      <c r="O694" s="4" t="n"/>
      <c r="P694" s="4" t="n"/>
      <c r="Q694" s="4" t="n"/>
      <c r="R694" s="4" t="n"/>
      <c r="S694" s="4" t="n"/>
      <c r="T694" s="4" t="n"/>
      <c r="U694" s="4" t="n"/>
      <c r="V694" s="4" t="n"/>
      <c r="W694" s="4" t="n"/>
    </row>
    <row r="695" ht="15.75" customHeight="1" s="19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  <c r="K695" s="4" t="n"/>
      <c r="L695" s="4" t="n"/>
      <c r="M695" s="4" t="n"/>
      <c r="N695" s="4" t="n"/>
      <c r="O695" s="4" t="n"/>
      <c r="P695" s="4" t="n"/>
      <c r="Q695" s="4" t="n"/>
      <c r="R695" s="4" t="n"/>
      <c r="S695" s="4" t="n"/>
      <c r="T695" s="4" t="n"/>
      <c r="U695" s="4" t="n"/>
      <c r="V695" s="4" t="n"/>
      <c r="W695" s="4" t="n"/>
    </row>
    <row r="696" ht="15.75" customHeight="1" s="19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  <c r="K696" s="4" t="n"/>
      <c r="L696" s="4" t="n"/>
      <c r="M696" s="4" t="n"/>
      <c r="N696" s="4" t="n"/>
      <c r="O696" s="4" t="n"/>
      <c r="P696" s="4" t="n"/>
      <c r="Q696" s="4" t="n"/>
      <c r="R696" s="4" t="n"/>
      <c r="S696" s="4" t="n"/>
      <c r="T696" s="4" t="n"/>
      <c r="U696" s="4" t="n"/>
      <c r="V696" s="4" t="n"/>
      <c r="W696" s="4" t="n"/>
    </row>
    <row r="697" ht="15.75" customHeight="1" s="19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  <c r="K697" s="4" t="n"/>
      <c r="L697" s="4" t="n"/>
      <c r="M697" s="4" t="n"/>
      <c r="N697" s="4" t="n"/>
      <c r="O697" s="4" t="n"/>
      <c r="P697" s="4" t="n"/>
      <c r="Q697" s="4" t="n"/>
      <c r="R697" s="4" t="n"/>
      <c r="S697" s="4" t="n"/>
      <c r="T697" s="4" t="n"/>
      <c r="U697" s="4" t="n"/>
      <c r="V697" s="4" t="n"/>
      <c r="W697" s="4" t="n"/>
    </row>
    <row r="698" ht="15.75" customHeight="1" s="19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  <c r="K698" s="4" t="n"/>
      <c r="L698" s="4" t="n"/>
      <c r="M698" s="4" t="n"/>
      <c r="N698" s="4" t="n"/>
      <c r="O698" s="4" t="n"/>
      <c r="P698" s="4" t="n"/>
      <c r="Q698" s="4" t="n"/>
      <c r="R698" s="4" t="n"/>
      <c r="S698" s="4" t="n"/>
      <c r="T698" s="4" t="n"/>
      <c r="U698" s="4" t="n"/>
      <c r="V698" s="4" t="n"/>
      <c r="W698" s="4" t="n"/>
    </row>
    <row r="699" ht="15.75" customHeight="1" s="19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  <c r="K699" s="4" t="n"/>
      <c r="L699" s="4" t="n"/>
      <c r="M699" s="4" t="n"/>
      <c r="N699" s="4" t="n"/>
      <c r="O699" s="4" t="n"/>
      <c r="P699" s="4" t="n"/>
      <c r="Q699" s="4" t="n"/>
      <c r="R699" s="4" t="n"/>
      <c r="S699" s="4" t="n"/>
      <c r="T699" s="4" t="n"/>
      <c r="U699" s="4" t="n"/>
      <c r="V699" s="4" t="n"/>
      <c r="W699" s="4" t="n"/>
    </row>
    <row r="700" ht="15.75" customHeight="1" s="19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  <c r="K700" s="4" t="n"/>
      <c r="L700" s="4" t="n"/>
      <c r="M700" s="4" t="n"/>
      <c r="N700" s="4" t="n"/>
      <c r="O700" s="4" t="n"/>
      <c r="P700" s="4" t="n"/>
      <c r="Q700" s="4" t="n"/>
      <c r="R700" s="4" t="n"/>
      <c r="S700" s="4" t="n"/>
      <c r="T700" s="4" t="n"/>
      <c r="U700" s="4" t="n"/>
      <c r="V700" s="4" t="n"/>
      <c r="W700" s="4" t="n"/>
    </row>
    <row r="701" ht="15.75" customHeight="1" s="19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  <c r="K701" s="4" t="n"/>
      <c r="L701" s="4" t="n"/>
      <c r="M701" s="4" t="n"/>
      <c r="N701" s="4" t="n"/>
      <c r="O701" s="4" t="n"/>
      <c r="P701" s="4" t="n"/>
      <c r="Q701" s="4" t="n"/>
      <c r="R701" s="4" t="n"/>
      <c r="S701" s="4" t="n"/>
      <c r="T701" s="4" t="n"/>
      <c r="U701" s="4" t="n"/>
      <c r="V701" s="4" t="n"/>
      <c r="W701" s="4" t="n"/>
    </row>
    <row r="702" ht="15.75" customHeight="1" s="19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  <c r="K702" s="4" t="n"/>
      <c r="L702" s="4" t="n"/>
      <c r="M702" s="4" t="n"/>
      <c r="N702" s="4" t="n"/>
      <c r="O702" s="4" t="n"/>
      <c r="P702" s="4" t="n"/>
      <c r="Q702" s="4" t="n"/>
      <c r="R702" s="4" t="n"/>
      <c r="S702" s="4" t="n"/>
      <c r="T702" s="4" t="n"/>
      <c r="U702" s="4" t="n"/>
      <c r="V702" s="4" t="n"/>
      <c r="W702" s="4" t="n"/>
    </row>
    <row r="703" ht="15.75" customHeight="1" s="19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  <c r="K703" s="4" t="n"/>
      <c r="L703" s="4" t="n"/>
      <c r="M703" s="4" t="n"/>
      <c r="N703" s="4" t="n"/>
      <c r="O703" s="4" t="n"/>
      <c r="P703" s="4" t="n"/>
      <c r="Q703" s="4" t="n"/>
      <c r="R703" s="4" t="n"/>
      <c r="S703" s="4" t="n"/>
      <c r="T703" s="4" t="n"/>
      <c r="U703" s="4" t="n"/>
      <c r="V703" s="4" t="n"/>
      <c r="W703" s="4" t="n"/>
    </row>
    <row r="704" ht="15.75" customHeight="1" s="19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  <c r="K704" s="4" t="n"/>
      <c r="L704" s="4" t="n"/>
      <c r="M704" s="4" t="n"/>
      <c r="N704" s="4" t="n"/>
      <c r="O704" s="4" t="n"/>
      <c r="P704" s="4" t="n"/>
      <c r="Q704" s="4" t="n"/>
      <c r="R704" s="4" t="n"/>
      <c r="S704" s="4" t="n"/>
      <c r="T704" s="4" t="n"/>
      <c r="U704" s="4" t="n"/>
      <c r="V704" s="4" t="n"/>
      <c r="W704" s="4" t="n"/>
    </row>
    <row r="705" ht="15.75" customHeight="1" s="19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  <c r="K705" s="4" t="n"/>
      <c r="L705" s="4" t="n"/>
      <c r="M705" s="4" t="n"/>
      <c r="N705" s="4" t="n"/>
      <c r="O705" s="4" t="n"/>
      <c r="P705" s="4" t="n"/>
      <c r="Q705" s="4" t="n"/>
      <c r="R705" s="4" t="n"/>
      <c r="S705" s="4" t="n"/>
      <c r="T705" s="4" t="n"/>
      <c r="U705" s="4" t="n"/>
      <c r="V705" s="4" t="n"/>
      <c r="W705" s="4" t="n"/>
    </row>
    <row r="706" ht="15.75" customHeight="1" s="19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  <c r="K706" s="4" t="n"/>
      <c r="L706" s="4" t="n"/>
      <c r="M706" s="4" t="n"/>
      <c r="N706" s="4" t="n"/>
      <c r="O706" s="4" t="n"/>
      <c r="P706" s="4" t="n"/>
      <c r="Q706" s="4" t="n"/>
      <c r="R706" s="4" t="n"/>
      <c r="S706" s="4" t="n"/>
      <c r="T706" s="4" t="n"/>
      <c r="U706" s="4" t="n"/>
      <c r="V706" s="4" t="n"/>
      <c r="W706" s="4" t="n"/>
    </row>
    <row r="707" ht="15.75" customHeight="1" s="19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  <c r="K707" s="4" t="n"/>
      <c r="L707" s="4" t="n"/>
      <c r="M707" s="4" t="n"/>
      <c r="N707" s="4" t="n"/>
      <c r="O707" s="4" t="n"/>
      <c r="P707" s="4" t="n"/>
      <c r="Q707" s="4" t="n"/>
      <c r="R707" s="4" t="n"/>
      <c r="S707" s="4" t="n"/>
      <c r="T707" s="4" t="n"/>
      <c r="U707" s="4" t="n"/>
      <c r="V707" s="4" t="n"/>
      <c r="W707" s="4" t="n"/>
    </row>
    <row r="708" ht="15.75" customHeight="1" s="19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  <c r="K708" s="4" t="n"/>
      <c r="L708" s="4" t="n"/>
      <c r="M708" s="4" t="n"/>
      <c r="N708" s="4" t="n"/>
      <c r="O708" s="4" t="n"/>
      <c r="P708" s="4" t="n"/>
      <c r="Q708" s="4" t="n"/>
      <c r="R708" s="4" t="n"/>
      <c r="S708" s="4" t="n"/>
      <c r="T708" s="4" t="n"/>
      <c r="U708" s="4" t="n"/>
      <c r="V708" s="4" t="n"/>
      <c r="W708" s="4" t="n"/>
    </row>
    <row r="709" ht="15.75" customHeight="1" s="19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  <c r="K709" s="4" t="n"/>
      <c r="L709" s="4" t="n"/>
      <c r="M709" s="4" t="n"/>
      <c r="N709" s="4" t="n"/>
      <c r="O709" s="4" t="n"/>
      <c r="P709" s="4" t="n"/>
      <c r="Q709" s="4" t="n"/>
      <c r="R709" s="4" t="n"/>
      <c r="S709" s="4" t="n"/>
      <c r="T709" s="4" t="n"/>
      <c r="U709" s="4" t="n"/>
      <c r="V709" s="4" t="n"/>
      <c r="W709" s="4" t="n"/>
    </row>
    <row r="710" ht="15.75" customHeight="1" s="19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  <c r="K710" s="4" t="n"/>
      <c r="L710" s="4" t="n"/>
      <c r="M710" s="4" t="n"/>
      <c r="N710" s="4" t="n"/>
      <c r="O710" s="4" t="n"/>
      <c r="P710" s="4" t="n"/>
      <c r="Q710" s="4" t="n"/>
      <c r="R710" s="4" t="n"/>
      <c r="S710" s="4" t="n"/>
      <c r="T710" s="4" t="n"/>
      <c r="U710" s="4" t="n"/>
      <c r="V710" s="4" t="n"/>
      <c r="W710" s="4" t="n"/>
    </row>
    <row r="711" ht="15.75" customHeight="1" s="19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  <c r="K711" s="4" t="n"/>
      <c r="L711" s="4" t="n"/>
      <c r="M711" s="4" t="n"/>
      <c r="N711" s="4" t="n"/>
      <c r="O711" s="4" t="n"/>
      <c r="P711" s="4" t="n"/>
      <c r="Q711" s="4" t="n"/>
      <c r="R711" s="4" t="n"/>
      <c r="S711" s="4" t="n"/>
      <c r="T711" s="4" t="n"/>
      <c r="U711" s="4" t="n"/>
      <c r="V711" s="4" t="n"/>
      <c r="W711" s="4" t="n"/>
    </row>
    <row r="712" ht="15.75" customHeight="1" s="19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  <c r="K712" s="4" t="n"/>
      <c r="L712" s="4" t="n"/>
      <c r="M712" s="4" t="n"/>
      <c r="N712" s="4" t="n"/>
      <c r="O712" s="4" t="n"/>
      <c r="P712" s="4" t="n"/>
      <c r="Q712" s="4" t="n"/>
      <c r="R712" s="4" t="n"/>
      <c r="S712" s="4" t="n"/>
      <c r="T712" s="4" t="n"/>
      <c r="U712" s="4" t="n"/>
      <c r="V712" s="4" t="n"/>
      <c r="W712" s="4" t="n"/>
    </row>
    <row r="713" ht="15.75" customHeight="1" s="19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  <c r="K713" s="4" t="n"/>
      <c r="L713" s="4" t="n"/>
      <c r="M713" s="4" t="n"/>
      <c r="N713" s="4" t="n"/>
      <c r="O713" s="4" t="n"/>
      <c r="P713" s="4" t="n"/>
      <c r="Q713" s="4" t="n"/>
      <c r="R713" s="4" t="n"/>
      <c r="S713" s="4" t="n"/>
      <c r="T713" s="4" t="n"/>
      <c r="U713" s="4" t="n"/>
      <c r="V713" s="4" t="n"/>
      <c r="W713" s="4" t="n"/>
    </row>
    <row r="714" ht="15.75" customHeight="1" s="19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  <c r="K714" s="4" t="n"/>
      <c r="L714" s="4" t="n"/>
      <c r="M714" s="4" t="n"/>
      <c r="N714" s="4" t="n"/>
      <c r="O714" s="4" t="n"/>
      <c r="P714" s="4" t="n"/>
      <c r="Q714" s="4" t="n"/>
      <c r="R714" s="4" t="n"/>
      <c r="S714" s="4" t="n"/>
      <c r="T714" s="4" t="n"/>
      <c r="U714" s="4" t="n"/>
      <c r="V714" s="4" t="n"/>
      <c r="W714" s="4" t="n"/>
    </row>
    <row r="715" ht="15.75" customHeight="1" s="19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  <c r="K715" s="4" t="n"/>
      <c r="L715" s="4" t="n"/>
      <c r="M715" s="4" t="n"/>
      <c r="N715" s="4" t="n"/>
      <c r="O715" s="4" t="n"/>
      <c r="P715" s="4" t="n"/>
      <c r="Q715" s="4" t="n"/>
      <c r="R715" s="4" t="n"/>
      <c r="S715" s="4" t="n"/>
      <c r="T715" s="4" t="n"/>
      <c r="U715" s="4" t="n"/>
      <c r="V715" s="4" t="n"/>
      <c r="W715" s="4" t="n"/>
    </row>
    <row r="716" ht="15.75" customHeight="1" s="19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  <c r="K716" s="4" t="n"/>
      <c r="L716" s="4" t="n"/>
      <c r="M716" s="4" t="n"/>
      <c r="N716" s="4" t="n"/>
      <c r="O716" s="4" t="n"/>
      <c r="P716" s="4" t="n"/>
      <c r="Q716" s="4" t="n"/>
      <c r="R716" s="4" t="n"/>
      <c r="S716" s="4" t="n"/>
      <c r="T716" s="4" t="n"/>
      <c r="U716" s="4" t="n"/>
      <c r="V716" s="4" t="n"/>
      <c r="W716" s="4" t="n"/>
    </row>
    <row r="717" ht="15.75" customHeight="1" s="19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  <c r="K717" s="4" t="n"/>
      <c r="L717" s="4" t="n"/>
      <c r="M717" s="4" t="n"/>
      <c r="N717" s="4" t="n"/>
      <c r="O717" s="4" t="n"/>
      <c r="P717" s="4" t="n"/>
      <c r="Q717" s="4" t="n"/>
      <c r="R717" s="4" t="n"/>
      <c r="S717" s="4" t="n"/>
      <c r="T717" s="4" t="n"/>
      <c r="U717" s="4" t="n"/>
      <c r="V717" s="4" t="n"/>
      <c r="W717" s="4" t="n"/>
    </row>
    <row r="718" ht="15.75" customHeight="1" s="19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  <c r="K718" s="4" t="n"/>
      <c r="L718" s="4" t="n"/>
      <c r="M718" s="4" t="n"/>
      <c r="N718" s="4" t="n"/>
      <c r="O718" s="4" t="n"/>
      <c r="P718" s="4" t="n"/>
      <c r="Q718" s="4" t="n"/>
      <c r="R718" s="4" t="n"/>
      <c r="S718" s="4" t="n"/>
      <c r="T718" s="4" t="n"/>
      <c r="U718" s="4" t="n"/>
      <c r="V718" s="4" t="n"/>
      <c r="W718" s="4" t="n"/>
    </row>
    <row r="719" ht="15.75" customHeight="1" s="19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  <c r="K719" s="4" t="n"/>
      <c r="L719" s="4" t="n"/>
      <c r="M719" s="4" t="n"/>
      <c r="N719" s="4" t="n"/>
      <c r="O719" s="4" t="n"/>
      <c r="P719" s="4" t="n"/>
      <c r="Q719" s="4" t="n"/>
      <c r="R719" s="4" t="n"/>
      <c r="S719" s="4" t="n"/>
      <c r="T719" s="4" t="n"/>
      <c r="U719" s="4" t="n"/>
      <c r="V719" s="4" t="n"/>
      <c r="W719" s="4" t="n"/>
    </row>
    <row r="720" ht="15.75" customHeight="1" s="19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  <c r="K720" s="4" t="n"/>
      <c r="L720" s="4" t="n"/>
      <c r="M720" s="4" t="n"/>
      <c r="N720" s="4" t="n"/>
      <c r="O720" s="4" t="n"/>
      <c r="P720" s="4" t="n"/>
      <c r="Q720" s="4" t="n"/>
      <c r="R720" s="4" t="n"/>
      <c r="S720" s="4" t="n"/>
      <c r="T720" s="4" t="n"/>
      <c r="U720" s="4" t="n"/>
      <c r="V720" s="4" t="n"/>
      <c r="W720" s="4" t="n"/>
    </row>
    <row r="721" ht="15.75" customHeight="1" s="19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  <c r="K721" s="4" t="n"/>
      <c r="L721" s="4" t="n"/>
      <c r="M721" s="4" t="n"/>
      <c r="N721" s="4" t="n"/>
      <c r="O721" s="4" t="n"/>
      <c r="P721" s="4" t="n"/>
      <c r="Q721" s="4" t="n"/>
      <c r="R721" s="4" t="n"/>
      <c r="S721" s="4" t="n"/>
      <c r="T721" s="4" t="n"/>
      <c r="U721" s="4" t="n"/>
      <c r="V721" s="4" t="n"/>
      <c r="W721" s="4" t="n"/>
    </row>
    <row r="722" ht="15.75" customHeight="1" s="19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  <c r="K722" s="4" t="n"/>
      <c r="L722" s="4" t="n"/>
      <c r="M722" s="4" t="n"/>
      <c r="N722" s="4" t="n"/>
      <c r="O722" s="4" t="n"/>
      <c r="P722" s="4" t="n"/>
      <c r="Q722" s="4" t="n"/>
      <c r="R722" s="4" t="n"/>
      <c r="S722" s="4" t="n"/>
      <c r="T722" s="4" t="n"/>
      <c r="U722" s="4" t="n"/>
      <c r="V722" s="4" t="n"/>
      <c r="W722" s="4" t="n"/>
    </row>
    <row r="723" ht="15.75" customHeight="1" s="19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  <c r="K723" s="4" t="n"/>
      <c r="L723" s="4" t="n"/>
      <c r="M723" s="4" t="n"/>
      <c r="N723" s="4" t="n"/>
      <c r="O723" s="4" t="n"/>
      <c r="P723" s="4" t="n"/>
      <c r="Q723" s="4" t="n"/>
      <c r="R723" s="4" t="n"/>
      <c r="S723" s="4" t="n"/>
      <c r="T723" s="4" t="n"/>
      <c r="U723" s="4" t="n"/>
      <c r="V723" s="4" t="n"/>
      <c r="W723" s="4" t="n"/>
    </row>
    <row r="724" ht="15.75" customHeight="1" s="19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  <c r="K724" s="4" t="n"/>
      <c r="L724" s="4" t="n"/>
      <c r="M724" s="4" t="n"/>
      <c r="N724" s="4" t="n"/>
      <c r="O724" s="4" t="n"/>
      <c r="P724" s="4" t="n"/>
      <c r="Q724" s="4" t="n"/>
      <c r="R724" s="4" t="n"/>
      <c r="S724" s="4" t="n"/>
      <c r="T724" s="4" t="n"/>
      <c r="U724" s="4" t="n"/>
      <c r="V724" s="4" t="n"/>
      <c r="W724" s="4" t="n"/>
    </row>
    <row r="725" ht="15.75" customHeight="1" s="19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  <c r="K725" s="4" t="n"/>
      <c r="L725" s="4" t="n"/>
      <c r="M725" s="4" t="n"/>
      <c r="N725" s="4" t="n"/>
      <c r="O725" s="4" t="n"/>
      <c r="P725" s="4" t="n"/>
      <c r="Q725" s="4" t="n"/>
      <c r="R725" s="4" t="n"/>
      <c r="S725" s="4" t="n"/>
      <c r="T725" s="4" t="n"/>
      <c r="U725" s="4" t="n"/>
      <c r="V725" s="4" t="n"/>
      <c r="W725" s="4" t="n"/>
    </row>
    <row r="726" ht="15.75" customHeight="1" s="19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  <c r="K726" s="4" t="n"/>
      <c r="L726" s="4" t="n"/>
      <c r="M726" s="4" t="n"/>
      <c r="N726" s="4" t="n"/>
      <c r="O726" s="4" t="n"/>
      <c r="P726" s="4" t="n"/>
      <c r="Q726" s="4" t="n"/>
      <c r="R726" s="4" t="n"/>
      <c r="S726" s="4" t="n"/>
      <c r="T726" s="4" t="n"/>
      <c r="U726" s="4" t="n"/>
      <c r="V726" s="4" t="n"/>
      <c r="W726" s="4" t="n"/>
    </row>
    <row r="727" ht="15.75" customHeight="1" s="19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  <c r="K727" s="4" t="n"/>
      <c r="L727" s="4" t="n"/>
      <c r="M727" s="4" t="n"/>
      <c r="N727" s="4" t="n"/>
      <c r="O727" s="4" t="n"/>
      <c r="P727" s="4" t="n"/>
      <c r="Q727" s="4" t="n"/>
      <c r="R727" s="4" t="n"/>
      <c r="S727" s="4" t="n"/>
      <c r="T727" s="4" t="n"/>
      <c r="U727" s="4" t="n"/>
      <c r="V727" s="4" t="n"/>
      <c r="W727" s="4" t="n"/>
    </row>
    <row r="728" ht="15.75" customHeight="1" s="19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  <c r="K728" s="4" t="n"/>
      <c r="L728" s="4" t="n"/>
      <c r="M728" s="4" t="n"/>
      <c r="N728" s="4" t="n"/>
      <c r="O728" s="4" t="n"/>
      <c r="P728" s="4" t="n"/>
      <c r="Q728" s="4" t="n"/>
      <c r="R728" s="4" t="n"/>
      <c r="S728" s="4" t="n"/>
      <c r="T728" s="4" t="n"/>
      <c r="U728" s="4" t="n"/>
      <c r="V728" s="4" t="n"/>
      <c r="W728" s="4" t="n"/>
    </row>
    <row r="729" ht="15.75" customHeight="1" s="19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  <c r="K729" s="4" t="n"/>
      <c r="L729" s="4" t="n"/>
      <c r="M729" s="4" t="n"/>
      <c r="N729" s="4" t="n"/>
      <c r="O729" s="4" t="n"/>
      <c r="P729" s="4" t="n"/>
      <c r="Q729" s="4" t="n"/>
      <c r="R729" s="4" t="n"/>
      <c r="S729" s="4" t="n"/>
      <c r="T729" s="4" t="n"/>
      <c r="U729" s="4" t="n"/>
      <c r="V729" s="4" t="n"/>
      <c r="W729" s="4" t="n"/>
    </row>
    <row r="730" ht="15.75" customHeight="1" s="19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  <c r="K730" s="4" t="n"/>
      <c r="L730" s="4" t="n"/>
      <c r="M730" s="4" t="n"/>
      <c r="N730" s="4" t="n"/>
      <c r="O730" s="4" t="n"/>
      <c r="P730" s="4" t="n"/>
      <c r="Q730" s="4" t="n"/>
      <c r="R730" s="4" t="n"/>
      <c r="S730" s="4" t="n"/>
      <c r="T730" s="4" t="n"/>
      <c r="U730" s="4" t="n"/>
      <c r="V730" s="4" t="n"/>
      <c r="W730" s="4" t="n"/>
    </row>
    <row r="731" ht="15.75" customHeight="1" s="19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  <c r="K731" s="4" t="n"/>
      <c r="L731" s="4" t="n"/>
      <c r="M731" s="4" t="n"/>
      <c r="N731" s="4" t="n"/>
      <c r="O731" s="4" t="n"/>
      <c r="P731" s="4" t="n"/>
      <c r="Q731" s="4" t="n"/>
      <c r="R731" s="4" t="n"/>
      <c r="S731" s="4" t="n"/>
      <c r="T731" s="4" t="n"/>
      <c r="U731" s="4" t="n"/>
      <c r="V731" s="4" t="n"/>
      <c r="W731" s="4" t="n"/>
    </row>
    <row r="732" ht="15.75" customHeight="1" s="19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  <c r="K732" s="4" t="n"/>
      <c r="L732" s="4" t="n"/>
      <c r="M732" s="4" t="n"/>
      <c r="N732" s="4" t="n"/>
      <c r="O732" s="4" t="n"/>
      <c r="P732" s="4" t="n"/>
      <c r="Q732" s="4" t="n"/>
      <c r="R732" s="4" t="n"/>
      <c r="S732" s="4" t="n"/>
      <c r="T732" s="4" t="n"/>
      <c r="U732" s="4" t="n"/>
      <c r="V732" s="4" t="n"/>
      <c r="W732" s="4" t="n"/>
    </row>
    <row r="733" ht="15.75" customHeight="1" s="19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  <c r="K733" s="4" t="n"/>
      <c r="L733" s="4" t="n"/>
      <c r="M733" s="4" t="n"/>
      <c r="N733" s="4" t="n"/>
      <c r="O733" s="4" t="n"/>
      <c r="P733" s="4" t="n"/>
      <c r="Q733" s="4" t="n"/>
      <c r="R733" s="4" t="n"/>
      <c r="S733" s="4" t="n"/>
      <c r="T733" s="4" t="n"/>
      <c r="U733" s="4" t="n"/>
      <c r="V733" s="4" t="n"/>
      <c r="W733" s="4" t="n"/>
    </row>
    <row r="734" ht="15.75" customHeight="1" s="19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  <c r="K734" s="4" t="n"/>
      <c r="L734" s="4" t="n"/>
      <c r="M734" s="4" t="n"/>
      <c r="N734" s="4" t="n"/>
      <c r="O734" s="4" t="n"/>
      <c r="P734" s="4" t="n"/>
      <c r="Q734" s="4" t="n"/>
      <c r="R734" s="4" t="n"/>
      <c r="S734" s="4" t="n"/>
      <c r="T734" s="4" t="n"/>
      <c r="U734" s="4" t="n"/>
      <c r="V734" s="4" t="n"/>
      <c r="W734" s="4" t="n"/>
    </row>
    <row r="735" ht="15.75" customHeight="1" s="19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  <c r="K735" s="4" t="n"/>
      <c r="L735" s="4" t="n"/>
      <c r="M735" s="4" t="n"/>
      <c r="N735" s="4" t="n"/>
      <c r="O735" s="4" t="n"/>
      <c r="P735" s="4" t="n"/>
      <c r="Q735" s="4" t="n"/>
      <c r="R735" s="4" t="n"/>
      <c r="S735" s="4" t="n"/>
      <c r="T735" s="4" t="n"/>
      <c r="U735" s="4" t="n"/>
      <c r="V735" s="4" t="n"/>
      <c r="W735" s="4" t="n"/>
    </row>
    <row r="736" ht="15.75" customHeight="1" s="19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  <c r="K736" s="4" t="n"/>
      <c r="L736" s="4" t="n"/>
      <c r="M736" s="4" t="n"/>
      <c r="N736" s="4" t="n"/>
      <c r="O736" s="4" t="n"/>
      <c r="P736" s="4" t="n"/>
      <c r="Q736" s="4" t="n"/>
      <c r="R736" s="4" t="n"/>
      <c r="S736" s="4" t="n"/>
      <c r="T736" s="4" t="n"/>
      <c r="U736" s="4" t="n"/>
      <c r="V736" s="4" t="n"/>
      <c r="W736" s="4" t="n"/>
    </row>
    <row r="737" ht="15.75" customHeight="1" s="19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  <c r="K737" s="4" t="n"/>
      <c r="L737" s="4" t="n"/>
      <c r="M737" s="4" t="n"/>
      <c r="N737" s="4" t="n"/>
      <c r="O737" s="4" t="n"/>
      <c r="P737" s="4" t="n"/>
      <c r="Q737" s="4" t="n"/>
      <c r="R737" s="4" t="n"/>
      <c r="S737" s="4" t="n"/>
      <c r="T737" s="4" t="n"/>
      <c r="U737" s="4" t="n"/>
      <c r="V737" s="4" t="n"/>
      <c r="W737" s="4" t="n"/>
    </row>
    <row r="738" ht="15.75" customHeight="1" s="19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  <c r="K738" s="4" t="n"/>
      <c r="L738" s="4" t="n"/>
      <c r="M738" s="4" t="n"/>
      <c r="N738" s="4" t="n"/>
      <c r="O738" s="4" t="n"/>
      <c r="P738" s="4" t="n"/>
      <c r="Q738" s="4" t="n"/>
      <c r="R738" s="4" t="n"/>
      <c r="S738" s="4" t="n"/>
      <c r="T738" s="4" t="n"/>
      <c r="U738" s="4" t="n"/>
      <c r="V738" s="4" t="n"/>
      <c r="W738" s="4" t="n"/>
    </row>
    <row r="739" ht="15.75" customHeight="1" s="19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  <c r="K739" s="4" t="n"/>
      <c r="L739" s="4" t="n"/>
      <c r="M739" s="4" t="n"/>
      <c r="N739" s="4" t="n"/>
      <c r="O739" s="4" t="n"/>
      <c r="P739" s="4" t="n"/>
      <c r="Q739" s="4" t="n"/>
      <c r="R739" s="4" t="n"/>
      <c r="S739" s="4" t="n"/>
      <c r="T739" s="4" t="n"/>
      <c r="U739" s="4" t="n"/>
      <c r="V739" s="4" t="n"/>
      <c r="W739" s="4" t="n"/>
    </row>
    <row r="740" ht="15.75" customHeight="1" s="19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  <c r="K740" s="4" t="n"/>
      <c r="L740" s="4" t="n"/>
      <c r="M740" s="4" t="n"/>
      <c r="N740" s="4" t="n"/>
      <c r="O740" s="4" t="n"/>
      <c r="P740" s="4" t="n"/>
      <c r="Q740" s="4" t="n"/>
      <c r="R740" s="4" t="n"/>
      <c r="S740" s="4" t="n"/>
      <c r="T740" s="4" t="n"/>
      <c r="U740" s="4" t="n"/>
      <c r="V740" s="4" t="n"/>
      <c r="W740" s="4" t="n"/>
    </row>
    <row r="741" ht="15.75" customHeight="1" s="19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  <c r="K741" s="4" t="n"/>
      <c r="L741" s="4" t="n"/>
      <c r="M741" s="4" t="n"/>
      <c r="N741" s="4" t="n"/>
      <c r="O741" s="4" t="n"/>
      <c r="P741" s="4" t="n"/>
      <c r="Q741" s="4" t="n"/>
      <c r="R741" s="4" t="n"/>
      <c r="S741" s="4" t="n"/>
      <c r="T741" s="4" t="n"/>
      <c r="U741" s="4" t="n"/>
      <c r="V741" s="4" t="n"/>
      <c r="W741" s="4" t="n"/>
    </row>
    <row r="742" ht="15.75" customHeight="1" s="19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  <c r="K742" s="4" t="n"/>
      <c r="L742" s="4" t="n"/>
      <c r="M742" s="4" t="n"/>
      <c r="N742" s="4" t="n"/>
      <c r="O742" s="4" t="n"/>
      <c r="P742" s="4" t="n"/>
      <c r="Q742" s="4" t="n"/>
      <c r="R742" s="4" t="n"/>
      <c r="S742" s="4" t="n"/>
      <c r="T742" s="4" t="n"/>
      <c r="U742" s="4" t="n"/>
      <c r="V742" s="4" t="n"/>
      <c r="W742" s="4" t="n"/>
    </row>
    <row r="743" ht="15.75" customHeight="1" s="19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  <c r="K743" s="4" t="n"/>
      <c r="L743" s="4" t="n"/>
      <c r="M743" s="4" t="n"/>
      <c r="N743" s="4" t="n"/>
      <c r="O743" s="4" t="n"/>
      <c r="P743" s="4" t="n"/>
      <c r="Q743" s="4" t="n"/>
      <c r="R743" s="4" t="n"/>
      <c r="S743" s="4" t="n"/>
      <c r="T743" s="4" t="n"/>
      <c r="U743" s="4" t="n"/>
      <c r="V743" s="4" t="n"/>
      <c r="W743" s="4" t="n"/>
    </row>
    <row r="744" ht="15.75" customHeight="1" s="19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  <c r="K744" s="4" t="n"/>
      <c r="L744" s="4" t="n"/>
      <c r="M744" s="4" t="n"/>
      <c r="N744" s="4" t="n"/>
      <c r="O744" s="4" t="n"/>
      <c r="P744" s="4" t="n"/>
      <c r="Q744" s="4" t="n"/>
      <c r="R744" s="4" t="n"/>
      <c r="S744" s="4" t="n"/>
      <c r="T744" s="4" t="n"/>
      <c r="U744" s="4" t="n"/>
      <c r="V744" s="4" t="n"/>
      <c r="W744" s="4" t="n"/>
    </row>
    <row r="745" ht="15.75" customHeight="1" s="19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  <c r="K745" s="4" t="n"/>
      <c r="L745" s="4" t="n"/>
      <c r="M745" s="4" t="n"/>
      <c r="N745" s="4" t="n"/>
      <c r="O745" s="4" t="n"/>
      <c r="P745" s="4" t="n"/>
      <c r="Q745" s="4" t="n"/>
      <c r="R745" s="4" t="n"/>
      <c r="S745" s="4" t="n"/>
      <c r="T745" s="4" t="n"/>
      <c r="U745" s="4" t="n"/>
      <c r="V745" s="4" t="n"/>
      <c r="W745" s="4" t="n"/>
    </row>
    <row r="746" ht="15.75" customHeight="1" s="19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  <c r="K746" s="4" t="n"/>
      <c r="L746" s="4" t="n"/>
      <c r="M746" s="4" t="n"/>
      <c r="N746" s="4" t="n"/>
      <c r="O746" s="4" t="n"/>
      <c r="P746" s="4" t="n"/>
      <c r="Q746" s="4" t="n"/>
      <c r="R746" s="4" t="n"/>
      <c r="S746" s="4" t="n"/>
      <c r="T746" s="4" t="n"/>
      <c r="U746" s="4" t="n"/>
      <c r="V746" s="4" t="n"/>
      <c r="W746" s="4" t="n"/>
    </row>
    <row r="747" ht="15.75" customHeight="1" s="19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  <c r="K747" s="4" t="n"/>
      <c r="L747" s="4" t="n"/>
      <c r="M747" s="4" t="n"/>
      <c r="N747" s="4" t="n"/>
      <c r="O747" s="4" t="n"/>
      <c r="P747" s="4" t="n"/>
      <c r="Q747" s="4" t="n"/>
      <c r="R747" s="4" t="n"/>
      <c r="S747" s="4" t="n"/>
      <c r="T747" s="4" t="n"/>
      <c r="U747" s="4" t="n"/>
      <c r="V747" s="4" t="n"/>
      <c r="W747" s="4" t="n"/>
    </row>
    <row r="748" ht="15.75" customHeight="1" s="19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  <c r="K748" s="4" t="n"/>
      <c r="L748" s="4" t="n"/>
      <c r="M748" s="4" t="n"/>
      <c r="N748" s="4" t="n"/>
      <c r="O748" s="4" t="n"/>
      <c r="P748" s="4" t="n"/>
      <c r="Q748" s="4" t="n"/>
      <c r="R748" s="4" t="n"/>
      <c r="S748" s="4" t="n"/>
      <c r="T748" s="4" t="n"/>
      <c r="U748" s="4" t="n"/>
      <c r="V748" s="4" t="n"/>
      <c r="W748" s="4" t="n"/>
    </row>
    <row r="749" ht="15.75" customHeight="1" s="19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  <c r="K749" s="4" t="n"/>
      <c r="L749" s="4" t="n"/>
      <c r="M749" s="4" t="n"/>
      <c r="N749" s="4" t="n"/>
      <c r="O749" s="4" t="n"/>
      <c r="P749" s="4" t="n"/>
      <c r="Q749" s="4" t="n"/>
      <c r="R749" s="4" t="n"/>
      <c r="S749" s="4" t="n"/>
      <c r="T749" s="4" t="n"/>
      <c r="U749" s="4" t="n"/>
      <c r="V749" s="4" t="n"/>
      <c r="W749" s="4" t="n"/>
    </row>
    <row r="750" ht="15.75" customHeight="1" s="19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  <c r="K750" s="4" t="n"/>
      <c r="L750" s="4" t="n"/>
      <c r="M750" s="4" t="n"/>
      <c r="N750" s="4" t="n"/>
      <c r="O750" s="4" t="n"/>
      <c r="P750" s="4" t="n"/>
      <c r="Q750" s="4" t="n"/>
      <c r="R750" s="4" t="n"/>
      <c r="S750" s="4" t="n"/>
      <c r="T750" s="4" t="n"/>
      <c r="U750" s="4" t="n"/>
      <c r="V750" s="4" t="n"/>
      <c r="W750" s="4" t="n"/>
    </row>
    <row r="751" ht="15.75" customHeight="1" s="19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  <c r="K751" s="4" t="n"/>
      <c r="L751" s="4" t="n"/>
      <c r="M751" s="4" t="n"/>
      <c r="N751" s="4" t="n"/>
      <c r="O751" s="4" t="n"/>
      <c r="P751" s="4" t="n"/>
      <c r="Q751" s="4" t="n"/>
      <c r="R751" s="4" t="n"/>
      <c r="S751" s="4" t="n"/>
      <c r="T751" s="4" t="n"/>
      <c r="U751" s="4" t="n"/>
      <c r="V751" s="4" t="n"/>
      <c r="W751" s="4" t="n"/>
    </row>
    <row r="752" ht="15.75" customHeight="1" s="19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  <c r="K752" s="4" t="n"/>
      <c r="L752" s="4" t="n"/>
      <c r="M752" s="4" t="n"/>
      <c r="N752" s="4" t="n"/>
      <c r="O752" s="4" t="n"/>
      <c r="P752" s="4" t="n"/>
      <c r="Q752" s="4" t="n"/>
      <c r="R752" s="4" t="n"/>
      <c r="S752" s="4" t="n"/>
      <c r="T752" s="4" t="n"/>
      <c r="U752" s="4" t="n"/>
      <c r="V752" s="4" t="n"/>
      <c r="W752" s="4" t="n"/>
    </row>
    <row r="753" ht="15.75" customHeight="1" s="19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  <c r="K753" s="4" t="n"/>
      <c r="L753" s="4" t="n"/>
      <c r="M753" s="4" t="n"/>
      <c r="N753" s="4" t="n"/>
      <c r="O753" s="4" t="n"/>
      <c r="P753" s="4" t="n"/>
      <c r="Q753" s="4" t="n"/>
      <c r="R753" s="4" t="n"/>
      <c r="S753" s="4" t="n"/>
      <c r="T753" s="4" t="n"/>
      <c r="U753" s="4" t="n"/>
      <c r="V753" s="4" t="n"/>
      <c r="W753" s="4" t="n"/>
    </row>
    <row r="754" ht="15.75" customHeight="1" s="19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  <c r="K754" s="4" t="n"/>
      <c r="L754" s="4" t="n"/>
      <c r="M754" s="4" t="n"/>
      <c r="N754" s="4" t="n"/>
      <c r="O754" s="4" t="n"/>
      <c r="P754" s="4" t="n"/>
      <c r="Q754" s="4" t="n"/>
      <c r="R754" s="4" t="n"/>
      <c r="S754" s="4" t="n"/>
      <c r="T754" s="4" t="n"/>
      <c r="U754" s="4" t="n"/>
      <c r="V754" s="4" t="n"/>
      <c r="W754" s="4" t="n"/>
    </row>
    <row r="755" ht="15.75" customHeight="1" s="19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  <c r="K755" s="4" t="n"/>
      <c r="L755" s="4" t="n"/>
      <c r="M755" s="4" t="n"/>
      <c r="N755" s="4" t="n"/>
      <c r="O755" s="4" t="n"/>
      <c r="P755" s="4" t="n"/>
      <c r="Q755" s="4" t="n"/>
      <c r="R755" s="4" t="n"/>
      <c r="S755" s="4" t="n"/>
      <c r="T755" s="4" t="n"/>
      <c r="U755" s="4" t="n"/>
      <c r="V755" s="4" t="n"/>
      <c r="W755" s="4" t="n"/>
    </row>
    <row r="756" ht="15.75" customHeight="1" s="19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  <c r="K756" s="4" t="n"/>
      <c r="L756" s="4" t="n"/>
      <c r="M756" s="4" t="n"/>
      <c r="N756" s="4" t="n"/>
      <c r="O756" s="4" t="n"/>
      <c r="P756" s="4" t="n"/>
      <c r="Q756" s="4" t="n"/>
      <c r="R756" s="4" t="n"/>
      <c r="S756" s="4" t="n"/>
      <c r="T756" s="4" t="n"/>
      <c r="U756" s="4" t="n"/>
      <c r="V756" s="4" t="n"/>
      <c r="W756" s="4" t="n"/>
    </row>
    <row r="757" ht="15.75" customHeight="1" s="19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  <c r="K757" s="4" t="n"/>
      <c r="L757" s="4" t="n"/>
      <c r="M757" s="4" t="n"/>
      <c r="N757" s="4" t="n"/>
      <c r="O757" s="4" t="n"/>
      <c r="P757" s="4" t="n"/>
      <c r="Q757" s="4" t="n"/>
      <c r="R757" s="4" t="n"/>
      <c r="S757" s="4" t="n"/>
      <c r="T757" s="4" t="n"/>
      <c r="U757" s="4" t="n"/>
      <c r="V757" s="4" t="n"/>
      <c r="W757" s="4" t="n"/>
    </row>
    <row r="758" ht="15.75" customHeight="1" s="19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/>
      <c r="M758" s="4" t="n"/>
      <c r="N758" s="4" t="n"/>
      <c r="O758" s="4" t="n"/>
      <c r="P758" s="4" t="n"/>
      <c r="Q758" s="4" t="n"/>
      <c r="R758" s="4" t="n"/>
      <c r="S758" s="4" t="n"/>
      <c r="T758" s="4" t="n"/>
      <c r="U758" s="4" t="n"/>
      <c r="V758" s="4" t="n"/>
      <c r="W758" s="4" t="n"/>
    </row>
    <row r="759" ht="15.75" customHeight="1" s="19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  <c r="K759" s="4" t="n"/>
      <c r="L759" s="4" t="n"/>
      <c r="M759" s="4" t="n"/>
      <c r="N759" s="4" t="n"/>
      <c r="O759" s="4" t="n"/>
      <c r="P759" s="4" t="n"/>
      <c r="Q759" s="4" t="n"/>
      <c r="R759" s="4" t="n"/>
      <c r="S759" s="4" t="n"/>
      <c r="T759" s="4" t="n"/>
      <c r="U759" s="4" t="n"/>
      <c r="V759" s="4" t="n"/>
      <c r="W759" s="4" t="n"/>
    </row>
    <row r="760" ht="15.75" customHeight="1" s="19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/>
      <c r="M760" s="4" t="n"/>
      <c r="N760" s="4" t="n"/>
      <c r="O760" s="4" t="n"/>
      <c r="P760" s="4" t="n"/>
      <c r="Q760" s="4" t="n"/>
      <c r="R760" s="4" t="n"/>
      <c r="S760" s="4" t="n"/>
      <c r="T760" s="4" t="n"/>
      <c r="U760" s="4" t="n"/>
      <c r="V760" s="4" t="n"/>
      <c r="W760" s="4" t="n"/>
    </row>
    <row r="761" ht="15.75" customHeight="1" s="19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  <c r="K761" s="4" t="n"/>
      <c r="L761" s="4" t="n"/>
      <c r="M761" s="4" t="n"/>
      <c r="N761" s="4" t="n"/>
      <c r="O761" s="4" t="n"/>
      <c r="P761" s="4" t="n"/>
      <c r="Q761" s="4" t="n"/>
      <c r="R761" s="4" t="n"/>
      <c r="S761" s="4" t="n"/>
      <c r="T761" s="4" t="n"/>
      <c r="U761" s="4" t="n"/>
      <c r="V761" s="4" t="n"/>
      <c r="W761" s="4" t="n"/>
    </row>
    <row r="762" ht="15.75" customHeight="1" s="19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/>
      <c r="M762" s="4" t="n"/>
      <c r="N762" s="4" t="n"/>
      <c r="O762" s="4" t="n"/>
      <c r="P762" s="4" t="n"/>
      <c r="Q762" s="4" t="n"/>
      <c r="R762" s="4" t="n"/>
      <c r="S762" s="4" t="n"/>
      <c r="T762" s="4" t="n"/>
      <c r="U762" s="4" t="n"/>
      <c r="V762" s="4" t="n"/>
      <c r="W762" s="4" t="n"/>
    </row>
    <row r="763" ht="15.75" customHeight="1" s="19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  <c r="K763" s="4" t="n"/>
      <c r="L763" s="4" t="n"/>
      <c r="M763" s="4" t="n"/>
      <c r="N763" s="4" t="n"/>
      <c r="O763" s="4" t="n"/>
      <c r="P763" s="4" t="n"/>
      <c r="Q763" s="4" t="n"/>
      <c r="R763" s="4" t="n"/>
      <c r="S763" s="4" t="n"/>
      <c r="T763" s="4" t="n"/>
      <c r="U763" s="4" t="n"/>
      <c r="V763" s="4" t="n"/>
      <c r="W763" s="4" t="n"/>
    </row>
    <row r="764" ht="15.75" customHeight="1" s="19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/>
      <c r="M764" s="4" t="n"/>
      <c r="N764" s="4" t="n"/>
      <c r="O764" s="4" t="n"/>
      <c r="P764" s="4" t="n"/>
      <c r="Q764" s="4" t="n"/>
      <c r="R764" s="4" t="n"/>
      <c r="S764" s="4" t="n"/>
      <c r="T764" s="4" t="n"/>
      <c r="U764" s="4" t="n"/>
      <c r="V764" s="4" t="n"/>
      <c r="W764" s="4" t="n"/>
    </row>
    <row r="765" ht="15.75" customHeight="1" s="19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  <c r="K765" s="4" t="n"/>
      <c r="L765" s="4" t="n"/>
      <c r="M765" s="4" t="n"/>
      <c r="N765" s="4" t="n"/>
      <c r="O765" s="4" t="n"/>
      <c r="P765" s="4" t="n"/>
      <c r="Q765" s="4" t="n"/>
      <c r="R765" s="4" t="n"/>
      <c r="S765" s="4" t="n"/>
      <c r="T765" s="4" t="n"/>
      <c r="U765" s="4" t="n"/>
      <c r="V765" s="4" t="n"/>
      <c r="W765" s="4" t="n"/>
    </row>
    <row r="766" ht="15.75" customHeight="1" s="19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/>
      <c r="M766" s="4" t="n"/>
      <c r="N766" s="4" t="n"/>
      <c r="O766" s="4" t="n"/>
      <c r="P766" s="4" t="n"/>
      <c r="Q766" s="4" t="n"/>
      <c r="R766" s="4" t="n"/>
      <c r="S766" s="4" t="n"/>
      <c r="T766" s="4" t="n"/>
      <c r="U766" s="4" t="n"/>
      <c r="V766" s="4" t="n"/>
      <c r="W766" s="4" t="n"/>
    </row>
    <row r="767" ht="15.75" customHeight="1" s="19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  <c r="K767" s="4" t="n"/>
      <c r="L767" s="4" t="n"/>
      <c r="M767" s="4" t="n"/>
      <c r="N767" s="4" t="n"/>
      <c r="O767" s="4" t="n"/>
      <c r="P767" s="4" t="n"/>
      <c r="Q767" s="4" t="n"/>
      <c r="R767" s="4" t="n"/>
      <c r="S767" s="4" t="n"/>
      <c r="T767" s="4" t="n"/>
      <c r="U767" s="4" t="n"/>
      <c r="V767" s="4" t="n"/>
      <c r="W767" s="4" t="n"/>
    </row>
    <row r="768" ht="15.75" customHeight="1" s="19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/>
      <c r="M768" s="4" t="n"/>
      <c r="N768" s="4" t="n"/>
      <c r="O768" s="4" t="n"/>
      <c r="P768" s="4" t="n"/>
      <c r="Q768" s="4" t="n"/>
      <c r="R768" s="4" t="n"/>
      <c r="S768" s="4" t="n"/>
      <c r="T768" s="4" t="n"/>
      <c r="U768" s="4" t="n"/>
      <c r="V768" s="4" t="n"/>
      <c r="W768" s="4" t="n"/>
    </row>
    <row r="769" ht="15.75" customHeight="1" s="19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/>
      <c r="M769" s="4" t="n"/>
      <c r="N769" s="4" t="n"/>
      <c r="O769" s="4" t="n"/>
      <c r="P769" s="4" t="n"/>
      <c r="Q769" s="4" t="n"/>
      <c r="R769" s="4" t="n"/>
      <c r="S769" s="4" t="n"/>
      <c r="T769" s="4" t="n"/>
      <c r="U769" s="4" t="n"/>
      <c r="V769" s="4" t="n"/>
      <c r="W769" s="4" t="n"/>
    </row>
    <row r="770" ht="15.75" customHeight="1" s="19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/>
      <c r="M770" s="4" t="n"/>
      <c r="N770" s="4" t="n"/>
      <c r="O770" s="4" t="n"/>
      <c r="P770" s="4" t="n"/>
      <c r="Q770" s="4" t="n"/>
      <c r="R770" s="4" t="n"/>
      <c r="S770" s="4" t="n"/>
      <c r="T770" s="4" t="n"/>
      <c r="U770" s="4" t="n"/>
      <c r="V770" s="4" t="n"/>
      <c r="W770" s="4" t="n"/>
    </row>
    <row r="771" ht="15.75" customHeight="1" s="19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/>
      <c r="M771" s="4" t="n"/>
      <c r="N771" s="4" t="n"/>
      <c r="O771" s="4" t="n"/>
      <c r="P771" s="4" t="n"/>
      <c r="Q771" s="4" t="n"/>
      <c r="R771" s="4" t="n"/>
      <c r="S771" s="4" t="n"/>
      <c r="T771" s="4" t="n"/>
      <c r="U771" s="4" t="n"/>
      <c r="V771" s="4" t="n"/>
      <c r="W771" s="4" t="n"/>
    </row>
    <row r="772" ht="15.75" customHeight="1" s="19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/>
      <c r="M772" s="4" t="n"/>
      <c r="N772" s="4" t="n"/>
      <c r="O772" s="4" t="n"/>
      <c r="P772" s="4" t="n"/>
      <c r="Q772" s="4" t="n"/>
      <c r="R772" s="4" t="n"/>
      <c r="S772" s="4" t="n"/>
      <c r="T772" s="4" t="n"/>
      <c r="U772" s="4" t="n"/>
      <c r="V772" s="4" t="n"/>
      <c r="W772" s="4" t="n"/>
    </row>
    <row r="773" ht="15.75" customHeight="1" s="19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/>
      <c r="M773" s="4" t="n"/>
      <c r="N773" s="4" t="n"/>
      <c r="O773" s="4" t="n"/>
      <c r="P773" s="4" t="n"/>
      <c r="Q773" s="4" t="n"/>
      <c r="R773" s="4" t="n"/>
      <c r="S773" s="4" t="n"/>
      <c r="T773" s="4" t="n"/>
      <c r="U773" s="4" t="n"/>
      <c r="V773" s="4" t="n"/>
      <c r="W773" s="4" t="n"/>
    </row>
    <row r="774" ht="15.75" customHeight="1" s="19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/>
      <c r="M774" s="4" t="n"/>
      <c r="N774" s="4" t="n"/>
      <c r="O774" s="4" t="n"/>
      <c r="P774" s="4" t="n"/>
      <c r="Q774" s="4" t="n"/>
      <c r="R774" s="4" t="n"/>
      <c r="S774" s="4" t="n"/>
      <c r="T774" s="4" t="n"/>
      <c r="U774" s="4" t="n"/>
      <c r="V774" s="4" t="n"/>
      <c r="W774" s="4" t="n"/>
    </row>
    <row r="775" ht="15.75" customHeight="1" s="19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/>
      <c r="M775" s="4" t="n"/>
      <c r="N775" s="4" t="n"/>
      <c r="O775" s="4" t="n"/>
      <c r="P775" s="4" t="n"/>
      <c r="Q775" s="4" t="n"/>
      <c r="R775" s="4" t="n"/>
      <c r="S775" s="4" t="n"/>
      <c r="T775" s="4" t="n"/>
      <c r="U775" s="4" t="n"/>
      <c r="V775" s="4" t="n"/>
      <c r="W775" s="4" t="n"/>
    </row>
    <row r="776" ht="15.75" customHeight="1" s="19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/>
      <c r="M776" s="4" t="n"/>
      <c r="N776" s="4" t="n"/>
      <c r="O776" s="4" t="n"/>
      <c r="P776" s="4" t="n"/>
      <c r="Q776" s="4" t="n"/>
      <c r="R776" s="4" t="n"/>
      <c r="S776" s="4" t="n"/>
      <c r="T776" s="4" t="n"/>
      <c r="U776" s="4" t="n"/>
      <c r="V776" s="4" t="n"/>
      <c r="W776" s="4" t="n"/>
    </row>
    <row r="777" ht="15.75" customHeight="1" s="19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/>
      <c r="M777" s="4" t="n"/>
      <c r="N777" s="4" t="n"/>
      <c r="O777" s="4" t="n"/>
      <c r="P777" s="4" t="n"/>
      <c r="Q777" s="4" t="n"/>
      <c r="R777" s="4" t="n"/>
      <c r="S777" s="4" t="n"/>
      <c r="T777" s="4" t="n"/>
      <c r="U777" s="4" t="n"/>
      <c r="V777" s="4" t="n"/>
      <c r="W777" s="4" t="n"/>
    </row>
    <row r="778" ht="15.75" customHeight="1" s="19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/>
      <c r="M778" s="4" t="n"/>
      <c r="N778" s="4" t="n"/>
      <c r="O778" s="4" t="n"/>
      <c r="P778" s="4" t="n"/>
      <c r="Q778" s="4" t="n"/>
      <c r="R778" s="4" t="n"/>
      <c r="S778" s="4" t="n"/>
      <c r="T778" s="4" t="n"/>
      <c r="U778" s="4" t="n"/>
      <c r="V778" s="4" t="n"/>
      <c r="W778" s="4" t="n"/>
    </row>
    <row r="779" ht="15.75" customHeight="1" s="19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/>
      <c r="M779" s="4" t="n"/>
      <c r="N779" s="4" t="n"/>
      <c r="O779" s="4" t="n"/>
      <c r="P779" s="4" t="n"/>
      <c r="Q779" s="4" t="n"/>
      <c r="R779" s="4" t="n"/>
      <c r="S779" s="4" t="n"/>
      <c r="T779" s="4" t="n"/>
      <c r="U779" s="4" t="n"/>
      <c r="V779" s="4" t="n"/>
      <c r="W779" s="4" t="n"/>
    </row>
    <row r="780" ht="15.75" customHeight="1" s="19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/>
      <c r="M780" s="4" t="n"/>
      <c r="N780" s="4" t="n"/>
      <c r="O780" s="4" t="n"/>
      <c r="P780" s="4" t="n"/>
      <c r="Q780" s="4" t="n"/>
      <c r="R780" s="4" t="n"/>
      <c r="S780" s="4" t="n"/>
      <c r="T780" s="4" t="n"/>
      <c r="U780" s="4" t="n"/>
      <c r="V780" s="4" t="n"/>
      <c r="W780" s="4" t="n"/>
    </row>
    <row r="781" ht="15.75" customHeight="1" s="19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/>
      <c r="M781" s="4" t="n"/>
      <c r="N781" s="4" t="n"/>
      <c r="O781" s="4" t="n"/>
      <c r="P781" s="4" t="n"/>
      <c r="Q781" s="4" t="n"/>
      <c r="R781" s="4" t="n"/>
      <c r="S781" s="4" t="n"/>
      <c r="T781" s="4" t="n"/>
      <c r="U781" s="4" t="n"/>
      <c r="V781" s="4" t="n"/>
      <c r="W781" s="4" t="n"/>
    </row>
    <row r="782" ht="15.75" customHeight="1" s="19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/>
      <c r="M782" s="4" t="n"/>
      <c r="N782" s="4" t="n"/>
      <c r="O782" s="4" t="n"/>
      <c r="P782" s="4" t="n"/>
      <c r="Q782" s="4" t="n"/>
      <c r="R782" s="4" t="n"/>
      <c r="S782" s="4" t="n"/>
      <c r="T782" s="4" t="n"/>
      <c r="U782" s="4" t="n"/>
      <c r="V782" s="4" t="n"/>
      <c r="W782" s="4" t="n"/>
    </row>
    <row r="783" ht="15.75" customHeight="1" s="19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/>
      <c r="M783" s="4" t="n"/>
      <c r="N783" s="4" t="n"/>
      <c r="O783" s="4" t="n"/>
      <c r="P783" s="4" t="n"/>
      <c r="Q783" s="4" t="n"/>
      <c r="R783" s="4" t="n"/>
      <c r="S783" s="4" t="n"/>
      <c r="T783" s="4" t="n"/>
      <c r="U783" s="4" t="n"/>
      <c r="V783" s="4" t="n"/>
      <c r="W783" s="4" t="n"/>
    </row>
    <row r="784" ht="15.75" customHeight="1" s="19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/>
      <c r="M784" s="4" t="n"/>
      <c r="N784" s="4" t="n"/>
      <c r="O784" s="4" t="n"/>
      <c r="P784" s="4" t="n"/>
      <c r="Q784" s="4" t="n"/>
      <c r="R784" s="4" t="n"/>
      <c r="S784" s="4" t="n"/>
      <c r="T784" s="4" t="n"/>
      <c r="U784" s="4" t="n"/>
      <c r="V784" s="4" t="n"/>
      <c r="W784" s="4" t="n"/>
    </row>
    <row r="785" ht="15.75" customHeight="1" s="19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/>
      <c r="M785" s="4" t="n"/>
      <c r="N785" s="4" t="n"/>
      <c r="O785" s="4" t="n"/>
      <c r="P785" s="4" t="n"/>
      <c r="Q785" s="4" t="n"/>
      <c r="R785" s="4" t="n"/>
      <c r="S785" s="4" t="n"/>
      <c r="T785" s="4" t="n"/>
      <c r="U785" s="4" t="n"/>
      <c r="V785" s="4" t="n"/>
      <c r="W785" s="4" t="n"/>
    </row>
    <row r="786" ht="15.75" customHeight="1" s="19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/>
      <c r="M786" s="4" t="n"/>
      <c r="N786" s="4" t="n"/>
      <c r="O786" s="4" t="n"/>
      <c r="P786" s="4" t="n"/>
      <c r="Q786" s="4" t="n"/>
      <c r="R786" s="4" t="n"/>
      <c r="S786" s="4" t="n"/>
      <c r="T786" s="4" t="n"/>
      <c r="U786" s="4" t="n"/>
      <c r="V786" s="4" t="n"/>
      <c r="W786" s="4" t="n"/>
    </row>
    <row r="787" ht="15.75" customHeight="1" s="19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/>
      <c r="M787" s="4" t="n"/>
      <c r="N787" s="4" t="n"/>
      <c r="O787" s="4" t="n"/>
      <c r="P787" s="4" t="n"/>
      <c r="Q787" s="4" t="n"/>
      <c r="R787" s="4" t="n"/>
      <c r="S787" s="4" t="n"/>
      <c r="T787" s="4" t="n"/>
      <c r="U787" s="4" t="n"/>
      <c r="V787" s="4" t="n"/>
      <c r="W787" s="4" t="n"/>
    </row>
    <row r="788" ht="15.75" customHeight="1" s="19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/>
      <c r="M788" s="4" t="n"/>
      <c r="N788" s="4" t="n"/>
      <c r="O788" s="4" t="n"/>
      <c r="P788" s="4" t="n"/>
      <c r="Q788" s="4" t="n"/>
      <c r="R788" s="4" t="n"/>
      <c r="S788" s="4" t="n"/>
      <c r="T788" s="4" t="n"/>
      <c r="U788" s="4" t="n"/>
      <c r="V788" s="4" t="n"/>
      <c r="W788" s="4" t="n"/>
    </row>
    <row r="789" ht="15.75" customHeight="1" s="19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/>
      <c r="M789" s="4" t="n"/>
      <c r="N789" s="4" t="n"/>
      <c r="O789" s="4" t="n"/>
      <c r="P789" s="4" t="n"/>
      <c r="Q789" s="4" t="n"/>
      <c r="R789" s="4" t="n"/>
      <c r="S789" s="4" t="n"/>
      <c r="T789" s="4" t="n"/>
      <c r="U789" s="4" t="n"/>
      <c r="V789" s="4" t="n"/>
      <c r="W789" s="4" t="n"/>
    </row>
    <row r="790" ht="15.75" customHeight="1" s="19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/>
      <c r="M790" s="4" t="n"/>
      <c r="N790" s="4" t="n"/>
      <c r="O790" s="4" t="n"/>
      <c r="P790" s="4" t="n"/>
      <c r="Q790" s="4" t="n"/>
      <c r="R790" s="4" t="n"/>
      <c r="S790" s="4" t="n"/>
      <c r="T790" s="4" t="n"/>
      <c r="U790" s="4" t="n"/>
      <c r="V790" s="4" t="n"/>
      <c r="W790" s="4" t="n"/>
    </row>
    <row r="791" ht="15.75" customHeight="1" s="19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/>
      <c r="M791" s="4" t="n"/>
      <c r="N791" s="4" t="n"/>
      <c r="O791" s="4" t="n"/>
      <c r="P791" s="4" t="n"/>
      <c r="Q791" s="4" t="n"/>
      <c r="R791" s="4" t="n"/>
      <c r="S791" s="4" t="n"/>
      <c r="T791" s="4" t="n"/>
      <c r="U791" s="4" t="n"/>
      <c r="V791" s="4" t="n"/>
      <c r="W791" s="4" t="n"/>
    </row>
    <row r="792" ht="15.75" customHeight="1" s="19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/>
      <c r="M792" s="4" t="n"/>
      <c r="N792" s="4" t="n"/>
      <c r="O792" s="4" t="n"/>
      <c r="P792" s="4" t="n"/>
      <c r="Q792" s="4" t="n"/>
      <c r="R792" s="4" t="n"/>
      <c r="S792" s="4" t="n"/>
      <c r="T792" s="4" t="n"/>
      <c r="U792" s="4" t="n"/>
      <c r="V792" s="4" t="n"/>
      <c r="W792" s="4" t="n"/>
    </row>
    <row r="793" ht="15.75" customHeight="1" s="19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  <c r="K793" s="4" t="n"/>
      <c r="L793" s="4" t="n"/>
      <c r="M793" s="4" t="n"/>
      <c r="N793" s="4" t="n"/>
      <c r="O793" s="4" t="n"/>
      <c r="P793" s="4" t="n"/>
      <c r="Q793" s="4" t="n"/>
      <c r="R793" s="4" t="n"/>
      <c r="S793" s="4" t="n"/>
      <c r="T793" s="4" t="n"/>
      <c r="U793" s="4" t="n"/>
      <c r="V793" s="4" t="n"/>
      <c r="W793" s="4" t="n"/>
    </row>
    <row r="794" ht="15.75" customHeight="1" s="19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/>
      <c r="M794" s="4" t="n"/>
      <c r="N794" s="4" t="n"/>
      <c r="O794" s="4" t="n"/>
      <c r="P794" s="4" t="n"/>
      <c r="Q794" s="4" t="n"/>
      <c r="R794" s="4" t="n"/>
      <c r="S794" s="4" t="n"/>
      <c r="T794" s="4" t="n"/>
      <c r="U794" s="4" t="n"/>
      <c r="V794" s="4" t="n"/>
      <c r="W794" s="4" t="n"/>
    </row>
    <row r="795" ht="15.75" customHeight="1" s="19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/>
      <c r="M795" s="4" t="n"/>
      <c r="N795" s="4" t="n"/>
      <c r="O795" s="4" t="n"/>
      <c r="P795" s="4" t="n"/>
      <c r="Q795" s="4" t="n"/>
      <c r="R795" s="4" t="n"/>
      <c r="S795" s="4" t="n"/>
      <c r="T795" s="4" t="n"/>
      <c r="U795" s="4" t="n"/>
      <c r="V795" s="4" t="n"/>
      <c r="W795" s="4" t="n"/>
    </row>
    <row r="796" ht="15.75" customHeight="1" s="19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/>
      <c r="M796" s="4" t="n"/>
      <c r="N796" s="4" t="n"/>
      <c r="O796" s="4" t="n"/>
      <c r="P796" s="4" t="n"/>
      <c r="Q796" s="4" t="n"/>
      <c r="R796" s="4" t="n"/>
      <c r="S796" s="4" t="n"/>
      <c r="T796" s="4" t="n"/>
      <c r="U796" s="4" t="n"/>
      <c r="V796" s="4" t="n"/>
      <c r="W796" s="4" t="n"/>
    </row>
    <row r="797" ht="15.75" customHeight="1" s="19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  <c r="K797" s="4" t="n"/>
      <c r="L797" s="4" t="n"/>
      <c r="M797" s="4" t="n"/>
      <c r="N797" s="4" t="n"/>
      <c r="O797" s="4" t="n"/>
      <c r="P797" s="4" t="n"/>
      <c r="Q797" s="4" t="n"/>
      <c r="R797" s="4" t="n"/>
      <c r="S797" s="4" t="n"/>
      <c r="T797" s="4" t="n"/>
      <c r="U797" s="4" t="n"/>
      <c r="V797" s="4" t="n"/>
      <c r="W797" s="4" t="n"/>
    </row>
    <row r="798" ht="15.75" customHeight="1" s="19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  <c r="K798" s="4" t="n"/>
      <c r="L798" s="4" t="n"/>
      <c r="M798" s="4" t="n"/>
      <c r="N798" s="4" t="n"/>
      <c r="O798" s="4" t="n"/>
      <c r="P798" s="4" t="n"/>
      <c r="Q798" s="4" t="n"/>
      <c r="R798" s="4" t="n"/>
      <c r="S798" s="4" t="n"/>
      <c r="T798" s="4" t="n"/>
      <c r="U798" s="4" t="n"/>
      <c r="V798" s="4" t="n"/>
      <c r="W798" s="4" t="n"/>
    </row>
    <row r="799" ht="15.75" customHeight="1" s="19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  <c r="K799" s="4" t="n"/>
      <c r="L799" s="4" t="n"/>
      <c r="M799" s="4" t="n"/>
      <c r="N799" s="4" t="n"/>
      <c r="O799" s="4" t="n"/>
      <c r="P799" s="4" t="n"/>
      <c r="Q799" s="4" t="n"/>
      <c r="R799" s="4" t="n"/>
      <c r="S799" s="4" t="n"/>
      <c r="T799" s="4" t="n"/>
      <c r="U799" s="4" t="n"/>
      <c r="V799" s="4" t="n"/>
      <c r="W799" s="4" t="n"/>
    </row>
    <row r="800" ht="15.75" customHeight="1" s="19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/>
      <c r="M800" s="4" t="n"/>
      <c r="N800" s="4" t="n"/>
      <c r="O800" s="4" t="n"/>
      <c r="P800" s="4" t="n"/>
      <c r="Q800" s="4" t="n"/>
      <c r="R800" s="4" t="n"/>
      <c r="S800" s="4" t="n"/>
      <c r="T800" s="4" t="n"/>
      <c r="U800" s="4" t="n"/>
      <c r="V800" s="4" t="n"/>
      <c r="W800" s="4" t="n"/>
    </row>
    <row r="801" ht="15.75" customHeight="1" s="19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  <c r="K801" s="4" t="n"/>
      <c r="L801" s="4" t="n"/>
      <c r="M801" s="4" t="n"/>
      <c r="N801" s="4" t="n"/>
      <c r="O801" s="4" t="n"/>
      <c r="P801" s="4" t="n"/>
      <c r="Q801" s="4" t="n"/>
      <c r="R801" s="4" t="n"/>
      <c r="S801" s="4" t="n"/>
      <c r="T801" s="4" t="n"/>
      <c r="U801" s="4" t="n"/>
      <c r="V801" s="4" t="n"/>
      <c r="W801" s="4" t="n"/>
    </row>
    <row r="802" ht="15.75" customHeight="1" s="19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/>
      <c r="N802" s="4" t="n"/>
      <c r="O802" s="4" t="n"/>
      <c r="P802" s="4" t="n"/>
      <c r="Q802" s="4" t="n"/>
      <c r="R802" s="4" t="n"/>
      <c r="S802" s="4" t="n"/>
      <c r="T802" s="4" t="n"/>
      <c r="U802" s="4" t="n"/>
      <c r="V802" s="4" t="n"/>
      <c r="W802" s="4" t="n"/>
    </row>
    <row r="803" ht="15.75" customHeight="1" s="19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  <c r="K803" s="4" t="n"/>
      <c r="L803" s="4" t="n"/>
      <c r="M803" s="4" t="n"/>
      <c r="N803" s="4" t="n"/>
      <c r="O803" s="4" t="n"/>
      <c r="P803" s="4" t="n"/>
      <c r="Q803" s="4" t="n"/>
      <c r="R803" s="4" t="n"/>
      <c r="S803" s="4" t="n"/>
      <c r="T803" s="4" t="n"/>
      <c r="U803" s="4" t="n"/>
      <c r="V803" s="4" t="n"/>
      <c r="W803" s="4" t="n"/>
    </row>
    <row r="804" ht="15.75" customHeight="1" s="19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/>
      <c r="O804" s="4" t="n"/>
      <c r="P804" s="4" t="n"/>
      <c r="Q804" s="4" t="n"/>
      <c r="R804" s="4" t="n"/>
      <c r="S804" s="4" t="n"/>
      <c r="T804" s="4" t="n"/>
      <c r="U804" s="4" t="n"/>
      <c r="V804" s="4" t="n"/>
      <c r="W804" s="4" t="n"/>
    </row>
    <row r="805" ht="15.75" customHeight="1" s="19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  <c r="K805" s="4" t="n"/>
      <c r="L805" s="4" t="n"/>
      <c r="M805" s="4" t="n"/>
      <c r="N805" s="4" t="n"/>
      <c r="O805" s="4" t="n"/>
      <c r="P805" s="4" t="n"/>
      <c r="Q805" s="4" t="n"/>
      <c r="R805" s="4" t="n"/>
      <c r="S805" s="4" t="n"/>
      <c r="T805" s="4" t="n"/>
      <c r="U805" s="4" t="n"/>
      <c r="V805" s="4" t="n"/>
      <c r="W805" s="4" t="n"/>
    </row>
    <row r="806" ht="15.75" customHeight="1" s="19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/>
      <c r="O806" s="4" t="n"/>
      <c r="P806" s="4" t="n"/>
      <c r="Q806" s="4" t="n"/>
      <c r="R806" s="4" t="n"/>
      <c r="S806" s="4" t="n"/>
      <c r="T806" s="4" t="n"/>
      <c r="U806" s="4" t="n"/>
      <c r="V806" s="4" t="n"/>
      <c r="W806" s="4" t="n"/>
    </row>
    <row r="807" ht="15.75" customHeight="1" s="19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  <c r="K807" s="4" t="n"/>
      <c r="L807" s="4" t="n"/>
      <c r="M807" s="4" t="n"/>
      <c r="N807" s="4" t="n"/>
      <c r="O807" s="4" t="n"/>
      <c r="P807" s="4" t="n"/>
      <c r="Q807" s="4" t="n"/>
      <c r="R807" s="4" t="n"/>
      <c r="S807" s="4" t="n"/>
      <c r="T807" s="4" t="n"/>
      <c r="U807" s="4" t="n"/>
      <c r="V807" s="4" t="n"/>
      <c r="W807" s="4" t="n"/>
    </row>
    <row r="808" ht="15.75" customHeight="1" s="19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/>
      <c r="O808" s="4" t="n"/>
      <c r="P808" s="4" t="n"/>
      <c r="Q808" s="4" t="n"/>
      <c r="R808" s="4" t="n"/>
      <c r="S808" s="4" t="n"/>
      <c r="T808" s="4" t="n"/>
      <c r="U808" s="4" t="n"/>
      <c r="V808" s="4" t="n"/>
      <c r="W808" s="4" t="n"/>
    </row>
    <row r="809" ht="15.75" customHeight="1" s="19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  <c r="K809" s="4" t="n"/>
      <c r="L809" s="4" t="n"/>
      <c r="M809" s="4" t="n"/>
      <c r="N809" s="4" t="n"/>
      <c r="O809" s="4" t="n"/>
      <c r="P809" s="4" t="n"/>
      <c r="Q809" s="4" t="n"/>
      <c r="R809" s="4" t="n"/>
      <c r="S809" s="4" t="n"/>
      <c r="T809" s="4" t="n"/>
      <c r="U809" s="4" t="n"/>
      <c r="V809" s="4" t="n"/>
      <c r="W809" s="4" t="n"/>
    </row>
    <row r="810" ht="15.75" customHeight="1" s="19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/>
      <c r="O810" s="4" t="n"/>
      <c r="P810" s="4" t="n"/>
      <c r="Q810" s="4" t="n"/>
      <c r="R810" s="4" t="n"/>
      <c r="S810" s="4" t="n"/>
      <c r="T810" s="4" t="n"/>
      <c r="U810" s="4" t="n"/>
      <c r="V810" s="4" t="n"/>
      <c r="W810" s="4" t="n"/>
    </row>
    <row r="811" ht="15.75" customHeight="1" s="19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  <c r="K811" s="4" t="n"/>
      <c r="L811" s="4" t="n"/>
      <c r="M811" s="4" t="n"/>
      <c r="N811" s="4" t="n"/>
      <c r="O811" s="4" t="n"/>
      <c r="P811" s="4" t="n"/>
      <c r="Q811" s="4" t="n"/>
      <c r="R811" s="4" t="n"/>
      <c r="S811" s="4" t="n"/>
      <c r="T811" s="4" t="n"/>
      <c r="U811" s="4" t="n"/>
      <c r="V811" s="4" t="n"/>
      <c r="W811" s="4" t="n"/>
    </row>
    <row r="812" ht="15.75" customHeight="1" s="19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/>
      <c r="O812" s="4" t="n"/>
      <c r="P812" s="4" t="n"/>
      <c r="Q812" s="4" t="n"/>
      <c r="R812" s="4" t="n"/>
      <c r="S812" s="4" t="n"/>
      <c r="T812" s="4" t="n"/>
      <c r="U812" s="4" t="n"/>
      <c r="V812" s="4" t="n"/>
      <c r="W812" s="4" t="n"/>
    </row>
    <row r="813" ht="15.75" customHeight="1" s="19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  <c r="K813" s="4" t="n"/>
      <c r="L813" s="4" t="n"/>
      <c r="M813" s="4" t="n"/>
      <c r="N813" s="4" t="n"/>
      <c r="O813" s="4" t="n"/>
      <c r="P813" s="4" t="n"/>
      <c r="Q813" s="4" t="n"/>
      <c r="R813" s="4" t="n"/>
      <c r="S813" s="4" t="n"/>
      <c r="T813" s="4" t="n"/>
      <c r="U813" s="4" t="n"/>
      <c r="V813" s="4" t="n"/>
      <c r="W813" s="4" t="n"/>
    </row>
    <row r="814" ht="15.75" customHeight="1" s="19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/>
      <c r="O814" s="4" t="n"/>
      <c r="P814" s="4" t="n"/>
      <c r="Q814" s="4" t="n"/>
      <c r="R814" s="4" t="n"/>
      <c r="S814" s="4" t="n"/>
      <c r="T814" s="4" t="n"/>
      <c r="U814" s="4" t="n"/>
      <c r="V814" s="4" t="n"/>
      <c r="W814" s="4" t="n"/>
    </row>
    <row r="815" ht="15.75" customHeight="1" s="19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  <c r="K815" s="4" t="n"/>
      <c r="L815" s="4" t="n"/>
      <c r="M815" s="4" t="n"/>
      <c r="N815" s="4" t="n"/>
      <c r="O815" s="4" t="n"/>
      <c r="P815" s="4" t="n"/>
      <c r="Q815" s="4" t="n"/>
      <c r="R815" s="4" t="n"/>
      <c r="S815" s="4" t="n"/>
      <c r="T815" s="4" t="n"/>
      <c r="U815" s="4" t="n"/>
      <c r="V815" s="4" t="n"/>
      <c r="W815" s="4" t="n"/>
    </row>
    <row r="816" ht="15.75" customHeight="1" s="19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/>
      <c r="O816" s="4" t="n"/>
      <c r="P816" s="4" t="n"/>
      <c r="Q816" s="4" t="n"/>
      <c r="R816" s="4" t="n"/>
      <c r="S816" s="4" t="n"/>
      <c r="T816" s="4" t="n"/>
      <c r="U816" s="4" t="n"/>
      <c r="V816" s="4" t="n"/>
      <c r="W816" s="4" t="n"/>
    </row>
    <row r="817" ht="15.75" customHeight="1" s="19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  <c r="K817" s="4" t="n"/>
      <c r="L817" s="4" t="n"/>
      <c r="M817" s="4" t="n"/>
      <c r="N817" s="4" t="n"/>
      <c r="O817" s="4" t="n"/>
      <c r="P817" s="4" t="n"/>
      <c r="Q817" s="4" t="n"/>
      <c r="R817" s="4" t="n"/>
      <c r="S817" s="4" t="n"/>
      <c r="T817" s="4" t="n"/>
      <c r="U817" s="4" t="n"/>
      <c r="V817" s="4" t="n"/>
      <c r="W817" s="4" t="n"/>
    </row>
    <row r="818" ht="15.75" customHeight="1" s="19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/>
      <c r="O818" s="4" t="n"/>
      <c r="P818" s="4" t="n"/>
      <c r="Q818" s="4" t="n"/>
      <c r="R818" s="4" t="n"/>
      <c r="S818" s="4" t="n"/>
      <c r="T818" s="4" t="n"/>
      <c r="U818" s="4" t="n"/>
      <c r="V818" s="4" t="n"/>
      <c r="W818" s="4" t="n"/>
    </row>
    <row r="819" ht="15.75" customHeight="1" s="19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  <c r="K819" s="4" t="n"/>
      <c r="L819" s="4" t="n"/>
      <c r="M819" s="4" t="n"/>
      <c r="N819" s="4" t="n"/>
      <c r="O819" s="4" t="n"/>
      <c r="P819" s="4" t="n"/>
      <c r="Q819" s="4" t="n"/>
      <c r="R819" s="4" t="n"/>
      <c r="S819" s="4" t="n"/>
      <c r="T819" s="4" t="n"/>
      <c r="U819" s="4" t="n"/>
      <c r="V819" s="4" t="n"/>
      <c r="W819" s="4" t="n"/>
    </row>
    <row r="820" ht="15.75" customHeight="1" s="19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/>
      <c r="O820" s="4" t="n"/>
      <c r="P820" s="4" t="n"/>
      <c r="Q820" s="4" t="n"/>
      <c r="R820" s="4" t="n"/>
      <c r="S820" s="4" t="n"/>
      <c r="T820" s="4" t="n"/>
      <c r="U820" s="4" t="n"/>
      <c r="V820" s="4" t="n"/>
      <c r="W820" s="4" t="n"/>
    </row>
    <row r="821" ht="15.75" customHeight="1" s="19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  <c r="K821" s="4" t="n"/>
      <c r="L821" s="4" t="n"/>
      <c r="M821" s="4" t="n"/>
      <c r="N821" s="4" t="n"/>
      <c r="O821" s="4" t="n"/>
      <c r="P821" s="4" t="n"/>
      <c r="Q821" s="4" t="n"/>
      <c r="R821" s="4" t="n"/>
      <c r="S821" s="4" t="n"/>
      <c r="T821" s="4" t="n"/>
      <c r="U821" s="4" t="n"/>
      <c r="V821" s="4" t="n"/>
      <c r="W821" s="4" t="n"/>
    </row>
    <row r="822" ht="15.75" customHeight="1" s="19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/>
      <c r="O822" s="4" t="n"/>
      <c r="P822" s="4" t="n"/>
      <c r="Q822" s="4" t="n"/>
      <c r="R822" s="4" t="n"/>
      <c r="S822" s="4" t="n"/>
      <c r="T822" s="4" t="n"/>
      <c r="U822" s="4" t="n"/>
      <c r="V822" s="4" t="n"/>
      <c r="W822" s="4" t="n"/>
    </row>
    <row r="823" ht="15.75" customHeight="1" s="19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  <c r="K823" s="4" t="n"/>
      <c r="L823" s="4" t="n"/>
      <c r="M823" s="4" t="n"/>
      <c r="N823" s="4" t="n"/>
      <c r="O823" s="4" t="n"/>
      <c r="P823" s="4" t="n"/>
      <c r="Q823" s="4" t="n"/>
      <c r="R823" s="4" t="n"/>
      <c r="S823" s="4" t="n"/>
      <c r="T823" s="4" t="n"/>
      <c r="U823" s="4" t="n"/>
      <c r="V823" s="4" t="n"/>
      <c r="W823" s="4" t="n"/>
    </row>
    <row r="824" ht="15.75" customHeight="1" s="19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/>
      <c r="O824" s="4" t="n"/>
      <c r="P824" s="4" t="n"/>
      <c r="Q824" s="4" t="n"/>
      <c r="R824" s="4" t="n"/>
      <c r="S824" s="4" t="n"/>
      <c r="T824" s="4" t="n"/>
      <c r="U824" s="4" t="n"/>
      <c r="V824" s="4" t="n"/>
      <c r="W824" s="4" t="n"/>
    </row>
    <row r="825" ht="15.75" customHeight="1" s="19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  <c r="K825" s="4" t="n"/>
      <c r="L825" s="4" t="n"/>
      <c r="M825" s="4" t="n"/>
      <c r="N825" s="4" t="n"/>
      <c r="O825" s="4" t="n"/>
      <c r="P825" s="4" t="n"/>
      <c r="Q825" s="4" t="n"/>
      <c r="R825" s="4" t="n"/>
      <c r="S825" s="4" t="n"/>
      <c r="T825" s="4" t="n"/>
      <c r="U825" s="4" t="n"/>
      <c r="V825" s="4" t="n"/>
      <c r="W825" s="4" t="n"/>
    </row>
    <row r="826" ht="15.75" customHeight="1" s="19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  <c r="K826" s="4" t="n"/>
      <c r="L826" s="4" t="n"/>
      <c r="M826" s="4" t="n"/>
      <c r="N826" s="4" t="n"/>
      <c r="O826" s="4" t="n"/>
      <c r="P826" s="4" t="n"/>
      <c r="Q826" s="4" t="n"/>
      <c r="R826" s="4" t="n"/>
      <c r="S826" s="4" t="n"/>
      <c r="T826" s="4" t="n"/>
      <c r="U826" s="4" t="n"/>
      <c r="V826" s="4" t="n"/>
      <c r="W826" s="4" t="n"/>
    </row>
    <row r="827" ht="15.75" customHeight="1" s="19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  <c r="K827" s="4" t="n"/>
      <c r="L827" s="4" t="n"/>
      <c r="M827" s="4" t="n"/>
      <c r="N827" s="4" t="n"/>
      <c r="O827" s="4" t="n"/>
      <c r="P827" s="4" t="n"/>
      <c r="Q827" s="4" t="n"/>
      <c r="R827" s="4" t="n"/>
      <c r="S827" s="4" t="n"/>
      <c r="T827" s="4" t="n"/>
      <c r="U827" s="4" t="n"/>
      <c r="V827" s="4" t="n"/>
      <c r="W827" s="4" t="n"/>
    </row>
    <row r="828" ht="15.75" customHeight="1" s="19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  <c r="K828" s="4" t="n"/>
      <c r="L828" s="4" t="n"/>
      <c r="M828" s="4" t="n"/>
      <c r="N828" s="4" t="n"/>
      <c r="O828" s="4" t="n"/>
      <c r="P828" s="4" t="n"/>
      <c r="Q828" s="4" t="n"/>
      <c r="R828" s="4" t="n"/>
      <c r="S828" s="4" t="n"/>
      <c r="T828" s="4" t="n"/>
      <c r="U828" s="4" t="n"/>
      <c r="V828" s="4" t="n"/>
      <c r="W828" s="4" t="n"/>
    </row>
    <row r="829" ht="15.75" customHeight="1" s="19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  <c r="K829" s="4" t="n"/>
      <c r="L829" s="4" t="n"/>
      <c r="M829" s="4" t="n"/>
      <c r="N829" s="4" t="n"/>
      <c r="O829" s="4" t="n"/>
      <c r="P829" s="4" t="n"/>
      <c r="Q829" s="4" t="n"/>
      <c r="R829" s="4" t="n"/>
      <c r="S829" s="4" t="n"/>
      <c r="T829" s="4" t="n"/>
      <c r="U829" s="4" t="n"/>
      <c r="V829" s="4" t="n"/>
      <c r="W829" s="4" t="n"/>
    </row>
    <row r="830" ht="15.75" customHeight="1" s="19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  <c r="K830" s="4" t="n"/>
      <c r="L830" s="4" t="n"/>
      <c r="M830" s="4" t="n"/>
      <c r="N830" s="4" t="n"/>
      <c r="O830" s="4" t="n"/>
      <c r="P830" s="4" t="n"/>
      <c r="Q830" s="4" t="n"/>
      <c r="R830" s="4" t="n"/>
      <c r="S830" s="4" t="n"/>
      <c r="T830" s="4" t="n"/>
      <c r="U830" s="4" t="n"/>
      <c r="V830" s="4" t="n"/>
      <c r="W830" s="4" t="n"/>
    </row>
    <row r="831" ht="15.75" customHeight="1" s="19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  <c r="K831" s="4" t="n"/>
      <c r="L831" s="4" t="n"/>
      <c r="M831" s="4" t="n"/>
      <c r="N831" s="4" t="n"/>
      <c r="O831" s="4" t="n"/>
      <c r="P831" s="4" t="n"/>
      <c r="Q831" s="4" t="n"/>
      <c r="R831" s="4" t="n"/>
      <c r="S831" s="4" t="n"/>
      <c r="T831" s="4" t="n"/>
      <c r="U831" s="4" t="n"/>
      <c r="V831" s="4" t="n"/>
      <c r="W831" s="4" t="n"/>
    </row>
    <row r="832" ht="15.75" customHeight="1" s="19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  <c r="K832" s="4" t="n"/>
      <c r="L832" s="4" t="n"/>
      <c r="M832" s="4" t="n"/>
      <c r="N832" s="4" t="n"/>
      <c r="O832" s="4" t="n"/>
      <c r="P832" s="4" t="n"/>
      <c r="Q832" s="4" t="n"/>
      <c r="R832" s="4" t="n"/>
      <c r="S832" s="4" t="n"/>
      <c r="T832" s="4" t="n"/>
      <c r="U832" s="4" t="n"/>
      <c r="V832" s="4" t="n"/>
      <c r="W832" s="4" t="n"/>
    </row>
    <row r="833" ht="15.75" customHeight="1" s="19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  <c r="K833" s="4" t="n"/>
      <c r="L833" s="4" t="n"/>
      <c r="M833" s="4" t="n"/>
      <c r="N833" s="4" t="n"/>
      <c r="O833" s="4" t="n"/>
      <c r="P833" s="4" t="n"/>
      <c r="Q833" s="4" t="n"/>
      <c r="R833" s="4" t="n"/>
      <c r="S833" s="4" t="n"/>
      <c r="T833" s="4" t="n"/>
      <c r="U833" s="4" t="n"/>
      <c r="V833" s="4" t="n"/>
      <c r="W833" s="4" t="n"/>
    </row>
    <row r="834" ht="15.75" customHeight="1" s="19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  <c r="K834" s="4" t="n"/>
      <c r="L834" s="4" t="n"/>
      <c r="M834" s="4" t="n"/>
      <c r="N834" s="4" t="n"/>
      <c r="O834" s="4" t="n"/>
      <c r="P834" s="4" t="n"/>
      <c r="Q834" s="4" t="n"/>
      <c r="R834" s="4" t="n"/>
      <c r="S834" s="4" t="n"/>
      <c r="T834" s="4" t="n"/>
      <c r="U834" s="4" t="n"/>
      <c r="V834" s="4" t="n"/>
      <c r="W834" s="4" t="n"/>
    </row>
    <row r="835" ht="15.75" customHeight="1" s="19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  <c r="K835" s="4" t="n"/>
      <c r="L835" s="4" t="n"/>
      <c r="M835" s="4" t="n"/>
      <c r="N835" s="4" t="n"/>
      <c r="O835" s="4" t="n"/>
      <c r="P835" s="4" t="n"/>
      <c r="Q835" s="4" t="n"/>
      <c r="R835" s="4" t="n"/>
      <c r="S835" s="4" t="n"/>
      <c r="T835" s="4" t="n"/>
      <c r="U835" s="4" t="n"/>
      <c r="V835" s="4" t="n"/>
      <c r="W835" s="4" t="n"/>
    </row>
    <row r="836" ht="15.75" customHeight="1" s="19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  <c r="K836" s="4" t="n"/>
      <c r="L836" s="4" t="n"/>
      <c r="M836" s="4" t="n"/>
      <c r="N836" s="4" t="n"/>
      <c r="O836" s="4" t="n"/>
      <c r="P836" s="4" t="n"/>
      <c r="Q836" s="4" t="n"/>
      <c r="R836" s="4" t="n"/>
      <c r="S836" s="4" t="n"/>
      <c r="T836" s="4" t="n"/>
      <c r="U836" s="4" t="n"/>
      <c r="V836" s="4" t="n"/>
      <c r="W836" s="4" t="n"/>
    </row>
    <row r="837" ht="15.75" customHeight="1" s="19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  <c r="K837" s="4" t="n"/>
      <c r="L837" s="4" t="n"/>
      <c r="M837" s="4" t="n"/>
      <c r="N837" s="4" t="n"/>
      <c r="O837" s="4" t="n"/>
      <c r="P837" s="4" t="n"/>
      <c r="Q837" s="4" t="n"/>
      <c r="R837" s="4" t="n"/>
      <c r="S837" s="4" t="n"/>
      <c r="T837" s="4" t="n"/>
      <c r="U837" s="4" t="n"/>
      <c r="V837" s="4" t="n"/>
      <c r="W837" s="4" t="n"/>
    </row>
    <row r="838" ht="15.75" customHeight="1" s="19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  <c r="K838" s="4" t="n"/>
      <c r="L838" s="4" t="n"/>
      <c r="M838" s="4" t="n"/>
      <c r="N838" s="4" t="n"/>
      <c r="O838" s="4" t="n"/>
      <c r="P838" s="4" t="n"/>
      <c r="Q838" s="4" t="n"/>
      <c r="R838" s="4" t="n"/>
      <c r="S838" s="4" t="n"/>
      <c r="T838" s="4" t="n"/>
      <c r="U838" s="4" t="n"/>
      <c r="V838" s="4" t="n"/>
      <c r="W838" s="4" t="n"/>
    </row>
    <row r="839" ht="15.75" customHeight="1" s="19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  <c r="K839" s="4" t="n"/>
      <c r="L839" s="4" t="n"/>
      <c r="M839" s="4" t="n"/>
      <c r="N839" s="4" t="n"/>
      <c r="O839" s="4" t="n"/>
      <c r="P839" s="4" t="n"/>
      <c r="Q839" s="4" t="n"/>
      <c r="R839" s="4" t="n"/>
      <c r="S839" s="4" t="n"/>
      <c r="T839" s="4" t="n"/>
      <c r="U839" s="4" t="n"/>
      <c r="V839" s="4" t="n"/>
      <c r="W839" s="4" t="n"/>
    </row>
    <row r="840" ht="15.75" customHeight="1" s="19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  <c r="K840" s="4" t="n"/>
      <c r="L840" s="4" t="n"/>
      <c r="M840" s="4" t="n"/>
      <c r="N840" s="4" t="n"/>
      <c r="O840" s="4" t="n"/>
      <c r="P840" s="4" t="n"/>
      <c r="Q840" s="4" t="n"/>
      <c r="R840" s="4" t="n"/>
      <c r="S840" s="4" t="n"/>
      <c r="T840" s="4" t="n"/>
      <c r="U840" s="4" t="n"/>
      <c r="V840" s="4" t="n"/>
      <c r="W840" s="4" t="n"/>
    </row>
    <row r="841" ht="15.75" customHeight="1" s="19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  <c r="K841" s="4" t="n"/>
      <c r="L841" s="4" t="n"/>
      <c r="M841" s="4" t="n"/>
      <c r="N841" s="4" t="n"/>
      <c r="O841" s="4" t="n"/>
      <c r="P841" s="4" t="n"/>
      <c r="Q841" s="4" t="n"/>
      <c r="R841" s="4" t="n"/>
      <c r="S841" s="4" t="n"/>
      <c r="T841" s="4" t="n"/>
      <c r="U841" s="4" t="n"/>
      <c r="V841" s="4" t="n"/>
      <c r="W841" s="4" t="n"/>
    </row>
    <row r="842" ht="15.75" customHeight="1" s="19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  <c r="K842" s="4" t="n"/>
      <c r="L842" s="4" t="n"/>
      <c r="M842" s="4" t="n"/>
      <c r="N842" s="4" t="n"/>
      <c r="O842" s="4" t="n"/>
      <c r="P842" s="4" t="n"/>
      <c r="Q842" s="4" t="n"/>
      <c r="R842" s="4" t="n"/>
      <c r="S842" s="4" t="n"/>
      <c r="T842" s="4" t="n"/>
      <c r="U842" s="4" t="n"/>
      <c r="V842" s="4" t="n"/>
      <c r="W842" s="4" t="n"/>
    </row>
    <row r="843" ht="15.75" customHeight="1" s="19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  <c r="K843" s="4" t="n"/>
      <c r="L843" s="4" t="n"/>
      <c r="M843" s="4" t="n"/>
      <c r="N843" s="4" t="n"/>
      <c r="O843" s="4" t="n"/>
      <c r="P843" s="4" t="n"/>
      <c r="Q843" s="4" t="n"/>
      <c r="R843" s="4" t="n"/>
      <c r="S843" s="4" t="n"/>
      <c r="T843" s="4" t="n"/>
      <c r="U843" s="4" t="n"/>
      <c r="V843" s="4" t="n"/>
      <c r="W843" s="4" t="n"/>
    </row>
    <row r="844" ht="15.75" customHeight="1" s="19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  <c r="K844" s="4" t="n"/>
      <c r="L844" s="4" t="n"/>
      <c r="M844" s="4" t="n"/>
      <c r="N844" s="4" t="n"/>
      <c r="O844" s="4" t="n"/>
      <c r="P844" s="4" t="n"/>
      <c r="Q844" s="4" t="n"/>
      <c r="R844" s="4" t="n"/>
      <c r="S844" s="4" t="n"/>
      <c r="T844" s="4" t="n"/>
      <c r="U844" s="4" t="n"/>
      <c r="V844" s="4" t="n"/>
      <c r="W844" s="4" t="n"/>
    </row>
    <row r="845" ht="15.75" customHeight="1" s="19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  <c r="K845" s="4" t="n"/>
      <c r="L845" s="4" t="n"/>
      <c r="M845" s="4" t="n"/>
      <c r="N845" s="4" t="n"/>
      <c r="O845" s="4" t="n"/>
      <c r="P845" s="4" t="n"/>
      <c r="Q845" s="4" t="n"/>
      <c r="R845" s="4" t="n"/>
      <c r="S845" s="4" t="n"/>
      <c r="T845" s="4" t="n"/>
      <c r="U845" s="4" t="n"/>
      <c r="V845" s="4" t="n"/>
      <c r="W845" s="4" t="n"/>
    </row>
    <row r="846" ht="15.75" customHeight="1" s="19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  <c r="K846" s="4" t="n"/>
      <c r="L846" s="4" t="n"/>
      <c r="M846" s="4" t="n"/>
      <c r="N846" s="4" t="n"/>
      <c r="O846" s="4" t="n"/>
      <c r="P846" s="4" t="n"/>
      <c r="Q846" s="4" t="n"/>
      <c r="R846" s="4" t="n"/>
      <c r="S846" s="4" t="n"/>
      <c r="T846" s="4" t="n"/>
      <c r="U846" s="4" t="n"/>
      <c r="V846" s="4" t="n"/>
      <c r="W846" s="4" t="n"/>
    </row>
    <row r="847" ht="15.75" customHeight="1" s="19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  <c r="K847" s="4" t="n"/>
      <c r="L847" s="4" t="n"/>
      <c r="M847" s="4" t="n"/>
      <c r="N847" s="4" t="n"/>
      <c r="O847" s="4" t="n"/>
      <c r="P847" s="4" t="n"/>
      <c r="Q847" s="4" t="n"/>
      <c r="R847" s="4" t="n"/>
      <c r="S847" s="4" t="n"/>
      <c r="T847" s="4" t="n"/>
      <c r="U847" s="4" t="n"/>
      <c r="V847" s="4" t="n"/>
      <c r="W847" s="4" t="n"/>
    </row>
    <row r="848" ht="15.75" customHeight="1" s="19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  <c r="K848" s="4" t="n"/>
      <c r="L848" s="4" t="n"/>
      <c r="M848" s="4" t="n"/>
      <c r="N848" s="4" t="n"/>
      <c r="O848" s="4" t="n"/>
      <c r="P848" s="4" t="n"/>
      <c r="Q848" s="4" t="n"/>
      <c r="R848" s="4" t="n"/>
      <c r="S848" s="4" t="n"/>
      <c r="T848" s="4" t="n"/>
      <c r="U848" s="4" t="n"/>
      <c r="V848" s="4" t="n"/>
      <c r="W848" s="4" t="n"/>
    </row>
    <row r="849" ht="15.75" customHeight="1" s="19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  <c r="K849" s="4" t="n"/>
      <c r="L849" s="4" t="n"/>
      <c r="M849" s="4" t="n"/>
      <c r="N849" s="4" t="n"/>
      <c r="O849" s="4" t="n"/>
      <c r="P849" s="4" t="n"/>
      <c r="Q849" s="4" t="n"/>
      <c r="R849" s="4" t="n"/>
      <c r="S849" s="4" t="n"/>
      <c r="T849" s="4" t="n"/>
      <c r="U849" s="4" t="n"/>
      <c r="V849" s="4" t="n"/>
      <c r="W849" s="4" t="n"/>
    </row>
    <row r="850" ht="15.75" customHeight="1" s="19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  <c r="K850" s="4" t="n"/>
      <c r="L850" s="4" t="n"/>
      <c r="M850" s="4" t="n"/>
      <c r="N850" s="4" t="n"/>
      <c r="O850" s="4" t="n"/>
      <c r="P850" s="4" t="n"/>
      <c r="Q850" s="4" t="n"/>
      <c r="R850" s="4" t="n"/>
      <c r="S850" s="4" t="n"/>
      <c r="T850" s="4" t="n"/>
      <c r="U850" s="4" t="n"/>
      <c r="V850" s="4" t="n"/>
      <c r="W850" s="4" t="n"/>
    </row>
    <row r="851" ht="15.75" customHeight="1" s="19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  <c r="K851" s="4" t="n"/>
      <c r="L851" s="4" t="n"/>
      <c r="M851" s="4" t="n"/>
      <c r="N851" s="4" t="n"/>
      <c r="O851" s="4" t="n"/>
      <c r="P851" s="4" t="n"/>
      <c r="Q851" s="4" t="n"/>
      <c r="R851" s="4" t="n"/>
      <c r="S851" s="4" t="n"/>
      <c r="T851" s="4" t="n"/>
      <c r="U851" s="4" t="n"/>
      <c r="V851" s="4" t="n"/>
      <c r="W851" s="4" t="n"/>
    </row>
    <row r="852" ht="15.75" customHeight="1" s="19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  <c r="K852" s="4" t="n"/>
      <c r="L852" s="4" t="n"/>
      <c r="M852" s="4" t="n"/>
      <c r="N852" s="4" t="n"/>
      <c r="O852" s="4" t="n"/>
      <c r="P852" s="4" t="n"/>
      <c r="Q852" s="4" t="n"/>
      <c r="R852" s="4" t="n"/>
      <c r="S852" s="4" t="n"/>
      <c r="T852" s="4" t="n"/>
      <c r="U852" s="4" t="n"/>
      <c r="V852" s="4" t="n"/>
      <c r="W852" s="4" t="n"/>
    </row>
    <row r="853" ht="15.75" customHeight="1" s="19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  <c r="K853" s="4" t="n"/>
      <c r="L853" s="4" t="n"/>
      <c r="M853" s="4" t="n"/>
      <c r="N853" s="4" t="n"/>
      <c r="O853" s="4" t="n"/>
      <c r="P853" s="4" t="n"/>
      <c r="Q853" s="4" t="n"/>
      <c r="R853" s="4" t="n"/>
      <c r="S853" s="4" t="n"/>
      <c r="T853" s="4" t="n"/>
      <c r="U853" s="4" t="n"/>
      <c r="V853" s="4" t="n"/>
      <c r="W853" s="4" t="n"/>
    </row>
    <row r="854" ht="15.75" customHeight="1" s="19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  <c r="K854" s="4" t="n"/>
      <c r="L854" s="4" t="n"/>
      <c r="M854" s="4" t="n"/>
      <c r="N854" s="4" t="n"/>
      <c r="O854" s="4" t="n"/>
      <c r="P854" s="4" t="n"/>
      <c r="Q854" s="4" t="n"/>
      <c r="R854" s="4" t="n"/>
      <c r="S854" s="4" t="n"/>
      <c r="T854" s="4" t="n"/>
      <c r="U854" s="4" t="n"/>
      <c r="V854" s="4" t="n"/>
      <c r="W854" s="4" t="n"/>
    </row>
    <row r="855" ht="15.75" customHeight="1" s="19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  <c r="K855" s="4" t="n"/>
      <c r="L855" s="4" t="n"/>
      <c r="M855" s="4" t="n"/>
      <c r="N855" s="4" t="n"/>
      <c r="O855" s="4" t="n"/>
      <c r="P855" s="4" t="n"/>
      <c r="Q855" s="4" t="n"/>
      <c r="R855" s="4" t="n"/>
      <c r="S855" s="4" t="n"/>
      <c r="T855" s="4" t="n"/>
      <c r="U855" s="4" t="n"/>
      <c r="V855" s="4" t="n"/>
      <c r="W855" s="4" t="n"/>
    </row>
    <row r="856" ht="15.75" customHeight="1" s="19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  <c r="K856" s="4" t="n"/>
      <c r="L856" s="4" t="n"/>
      <c r="M856" s="4" t="n"/>
      <c r="N856" s="4" t="n"/>
      <c r="O856" s="4" t="n"/>
      <c r="P856" s="4" t="n"/>
      <c r="Q856" s="4" t="n"/>
      <c r="R856" s="4" t="n"/>
      <c r="S856" s="4" t="n"/>
      <c r="T856" s="4" t="n"/>
      <c r="U856" s="4" t="n"/>
      <c r="V856" s="4" t="n"/>
      <c r="W856" s="4" t="n"/>
    </row>
    <row r="857" ht="15.75" customHeight="1" s="19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  <c r="K857" s="4" t="n"/>
      <c r="L857" s="4" t="n"/>
      <c r="M857" s="4" t="n"/>
      <c r="N857" s="4" t="n"/>
      <c r="O857" s="4" t="n"/>
      <c r="P857" s="4" t="n"/>
      <c r="Q857" s="4" t="n"/>
      <c r="R857" s="4" t="n"/>
      <c r="S857" s="4" t="n"/>
      <c r="T857" s="4" t="n"/>
      <c r="U857" s="4" t="n"/>
      <c r="V857" s="4" t="n"/>
      <c r="W857" s="4" t="n"/>
    </row>
    <row r="858" ht="15.75" customHeight="1" s="19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  <c r="K858" s="4" t="n"/>
      <c r="L858" s="4" t="n"/>
      <c r="M858" s="4" t="n"/>
      <c r="N858" s="4" t="n"/>
      <c r="O858" s="4" t="n"/>
      <c r="P858" s="4" t="n"/>
      <c r="Q858" s="4" t="n"/>
      <c r="R858" s="4" t="n"/>
      <c r="S858" s="4" t="n"/>
      <c r="T858" s="4" t="n"/>
      <c r="U858" s="4" t="n"/>
      <c r="V858" s="4" t="n"/>
      <c r="W858" s="4" t="n"/>
    </row>
    <row r="859" ht="15.75" customHeight="1" s="19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  <c r="K859" s="4" t="n"/>
      <c r="L859" s="4" t="n"/>
      <c r="M859" s="4" t="n"/>
      <c r="N859" s="4" t="n"/>
      <c r="O859" s="4" t="n"/>
      <c r="P859" s="4" t="n"/>
      <c r="Q859" s="4" t="n"/>
      <c r="R859" s="4" t="n"/>
      <c r="S859" s="4" t="n"/>
      <c r="T859" s="4" t="n"/>
      <c r="U859" s="4" t="n"/>
      <c r="V859" s="4" t="n"/>
      <c r="W859" s="4" t="n"/>
    </row>
    <row r="860" ht="15.75" customHeight="1" s="19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  <c r="K860" s="4" t="n"/>
      <c r="L860" s="4" t="n"/>
      <c r="M860" s="4" t="n"/>
      <c r="N860" s="4" t="n"/>
      <c r="O860" s="4" t="n"/>
      <c r="P860" s="4" t="n"/>
      <c r="Q860" s="4" t="n"/>
      <c r="R860" s="4" t="n"/>
      <c r="S860" s="4" t="n"/>
      <c r="T860" s="4" t="n"/>
      <c r="U860" s="4" t="n"/>
      <c r="V860" s="4" t="n"/>
      <c r="W860" s="4" t="n"/>
    </row>
    <row r="861" ht="15.75" customHeight="1" s="19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  <c r="K861" s="4" t="n"/>
      <c r="L861" s="4" t="n"/>
      <c r="M861" s="4" t="n"/>
      <c r="N861" s="4" t="n"/>
      <c r="O861" s="4" t="n"/>
      <c r="P861" s="4" t="n"/>
      <c r="Q861" s="4" t="n"/>
      <c r="R861" s="4" t="n"/>
      <c r="S861" s="4" t="n"/>
      <c r="T861" s="4" t="n"/>
      <c r="U861" s="4" t="n"/>
      <c r="V861" s="4" t="n"/>
      <c r="W861" s="4" t="n"/>
    </row>
    <row r="862" ht="15.75" customHeight="1" s="19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  <c r="K862" s="4" t="n"/>
      <c r="L862" s="4" t="n"/>
      <c r="M862" s="4" t="n"/>
      <c r="N862" s="4" t="n"/>
      <c r="O862" s="4" t="n"/>
      <c r="P862" s="4" t="n"/>
      <c r="Q862" s="4" t="n"/>
      <c r="R862" s="4" t="n"/>
      <c r="S862" s="4" t="n"/>
      <c r="T862" s="4" t="n"/>
      <c r="U862" s="4" t="n"/>
      <c r="V862" s="4" t="n"/>
      <c r="W862" s="4" t="n"/>
    </row>
    <row r="863" ht="15.75" customHeight="1" s="19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  <c r="K863" s="4" t="n"/>
      <c r="L863" s="4" t="n"/>
      <c r="M863" s="4" t="n"/>
      <c r="N863" s="4" t="n"/>
      <c r="O863" s="4" t="n"/>
      <c r="P863" s="4" t="n"/>
      <c r="Q863" s="4" t="n"/>
      <c r="R863" s="4" t="n"/>
      <c r="S863" s="4" t="n"/>
      <c r="T863" s="4" t="n"/>
      <c r="U863" s="4" t="n"/>
      <c r="V863" s="4" t="n"/>
      <c r="W863" s="4" t="n"/>
    </row>
    <row r="864" ht="15.75" customHeight="1" s="19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  <c r="K864" s="4" t="n"/>
      <c r="L864" s="4" t="n"/>
      <c r="M864" s="4" t="n"/>
      <c r="N864" s="4" t="n"/>
      <c r="O864" s="4" t="n"/>
      <c r="P864" s="4" t="n"/>
      <c r="Q864" s="4" t="n"/>
      <c r="R864" s="4" t="n"/>
      <c r="S864" s="4" t="n"/>
      <c r="T864" s="4" t="n"/>
      <c r="U864" s="4" t="n"/>
      <c r="V864" s="4" t="n"/>
      <c r="W864" s="4" t="n"/>
    </row>
    <row r="865" ht="15.75" customHeight="1" s="19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  <c r="K865" s="4" t="n"/>
      <c r="L865" s="4" t="n"/>
      <c r="M865" s="4" t="n"/>
      <c r="N865" s="4" t="n"/>
      <c r="O865" s="4" t="n"/>
      <c r="P865" s="4" t="n"/>
      <c r="Q865" s="4" t="n"/>
      <c r="R865" s="4" t="n"/>
      <c r="S865" s="4" t="n"/>
      <c r="T865" s="4" t="n"/>
      <c r="U865" s="4" t="n"/>
      <c r="V865" s="4" t="n"/>
      <c r="W865" s="4" t="n"/>
    </row>
    <row r="866" ht="15.75" customHeight="1" s="19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  <c r="K866" s="4" t="n"/>
      <c r="L866" s="4" t="n"/>
      <c r="M866" s="4" t="n"/>
      <c r="N866" s="4" t="n"/>
      <c r="O866" s="4" t="n"/>
      <c r="P866" s="4" t="n"/>
      <c r="Q866" s="4" t="n"/>
      <c r="R866" s="4" t="n"/>
      <c r="S866" s="4" t="n"/>
      <c r="T866" s="4" t="n"/>
      <c r="U866" s="4" t="n"/>
      <c r="V866" s="4" t="n"/>
      <c r="W866" s="4" t="n"/>
    </row>
    <row r="867" ht="15.75" customHeight="1" s="19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  <c r="K867" s="4" t="n"/>
      <c r="L867" s="4" t="n"/>
      <c r="M867" s="4" t="n"/>
      <c r="N867" s="4" t="n"/>
      <c r="O867" s="4" t="n"/>
      <c r="P867" s="4" t="n"/>
      <c r="Q867" s="4" t="n"/>
      <c r="R867" s="4" t="n"/>
      <c r="S867" s="4" t="n"/>
      <c r="T867" s="4" t="n"/>
      <c r="U867" s="4" t="n"/>
      <c r="V867" s="4" t="n"/>
      <c r="W867" s="4" t="n"/>
    </row>
    <row r="868" ht="15.75" customHeight="1" s="19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  <c r="K868" s="4" t="n"/>
      <c r="L868" s="4" t="n"/>
      <c r="M868" s="4" t="n"/>
      <c r="N868" s="4" t="n"/>
      <c r="O868" s="4" t="n"/>
      <c r="P868" s="4" t="n"/>
      <c r="Q868" s="4" t="n"/>
      <c r="R868" s="4" t="n"/>
      <c r="S868" s="4" t="n"/>
      <c r="T868" s="4" t="n"/>
      <c r="U868" s="4" t="n"/>
      <c r="V868" s="4" t="n"/>
      <c r="W868" s="4" t="n"/>
    </row>
    <row r="869" ht="15.75" customHeight="1" s="19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  <c r="K869" s="4" t="n"/>
      <c r="L869" s="4" t="n"/>
      <c r="M869" s="4" t="n"/>
      <c r="N869" s="4" t="n"/>
      <c r="O869" s="4" t="n"/>
      <c r="P869" s="4" t="n"/>
      <c r="Q869" s="4" t="n"/>
      <c r="R869" s="4" t="n"/>
      <c r="S869" s="4" t="n"/>
      <c r="T869" s="4" t="n"/>
      <c r="U869" s="4" t="n"/>
      <c r="V869" s="4" t="n"/>
      <c r="W869" s="4" t="n"/>
    </row>
    <row r="870" ht="15.75" customHeight="1" s="19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  <c r="K870" s="4" t="n"/>
      <c r="L870" s="4" t="n"/>
      <c r="M870" s="4" t="n"/>
      <c r="N870" s="4" t="n"/>
      <c r="O870" s="4" t="n"/>
      <c r="P870" s="4" t="n"/>
      <c r="Q870" s="4" t="n"/>
      <c r="R870" s="4" t="n"/>
      <c r="S870" s="4" t="n"/>
      <c r="T870" s="4" t="n"/>
      <c r="U870" s="4" t="n"/>
      <c r="V870" s="4" t="n"/>
      <c r="W870" s="4" t="n"/>
    </row>
    <row r="871" ht="15.75" customHeight="1" s="19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  <c r="K871" s="4" t="n"/>
      <c r="L871" s="4" t="n"/>
      <c r="M871" s="4" t="n"/>
      <c r="N871" s="4" t="n"/>
      <c r="O871" s="4" t="n"/>
      <c r="P871" s="4" t="n"/>
      <c r="Q871" s="4" t="n"/>
      <c r="R871" s="4" t="n"/>
      <c r="S871" s="4" t="n"/>
      <c r="T871" s="4" t="n"/>
      <c r="U871" s="4" t="n"/>
      <c r="V871" s="4" t="n"/>
      <c r="W871" s="4" t="n"/>
    </row>
    <row r="872" ht="15.75" customHeight="1" s="19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  <c r="K872" s="4" t="n"/>
      <c r="L872" s="4" t="n"/>
      <c r="M872" s="4" t="n"/>
      <c r="N872" s="4" t="n"/>
      <c r="O872" s="4" t="n"/>
      <c r="P872" s="4" t="n"/>
      <c r="Q872" s="4" t="n"/>
      <c r="R872" s="4" t="n"/>
      <c r="S872" s="4" t="n"/>
      <c r="T872" s="4" t="n"/>
      <c r="U872" s="4" t="n"/>
      <c r="V872" s="4" t="n"/>
      <c r="W872" s="4" t="n"/>
    </row>
    <row r="873" ht="15.75" customHeight="1" s="19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  <c r="K873" s="4" t="n"/>
      <c r="L873" s="4" t="n"/>
      <c r="M873" s="4" t="n"/>
      <c r="N873" s="4" t="n"/>
      <c r="O873" s="4" t="n"/>
      <c r="P873" s="4" t="n"/>
      <c r="Q873" s="4" t="n"/>
      <c r="R873" s="4" t="n"/>
      <c r="S873" s="4" t="n"/>
      <c r="T873" s="4" t="n"/>
      <c r="U873" s="4" t="n"/>
      <c r="V873" s="4" t="n"/>
      <c r="W873" s="4" t="n"/>
    </row>
    <row r="874" ht="15.75" customHeight="1" s="19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  <c r="K874" s="4" t="n"/>
      <c r="L874" s="4" t="n"/>
      <c r="M874" s="4" t="n"/>
      <c r="N874" s="4" t="n"/>
      <c r="O874" s="4" t="n"/>
      <c r="P874" s="4" t="n"/>
      <c r="Q874" s="4" t="n"/>
      <c r="R874" s="4" t="n"/>
      <c r="S874" s="4" t="n"/>
      <c r="T874" s="4" t="n"/>
      <c r="U874" s="4" t="n"/>
      <c r="V874" s="4" t="n"/>
      <c r="W874" s="4" t="n"/>
    </row>
    <row r="875" ht="15.75" customHeight="1" s="19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  <c r="K875" s="4" t="n"/>
      <c r="L875" s="4" t="n"/>
      <c r="M875" s="4" t="n"/>
      <c r="N875" s="4" t="n"/>
      <c r="O875" s="4" t="n"/>
      <c r="P875" s="4" t="n"/>
      <c r="Q875" s="4" t="n"/>
      <c r="R875" s="4" t="n"/>
      <c r="S875" s="4" t="n"/>
      <c r="T875" s="4" t="n"/>
      <c r="U875" s="4" t="n"/>
      <c r="V875" s="4" t="n"/>
      <c r="W875" s="4" t="n"/>
    </row>
    <row r="876" ht="15.75" customHeight="1" s="19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  <c r="K876" s="4" t="n"/>
      <c r="L876" s="4" t="n"/>
      <c r="M876" s="4" t="n"/>
      <c r="N876" s="4" t="n"/>
      <c r="O876" s="4" t="n"/>
      <c r="P876" s="4" t="n"/>
      <c r="Q876" s="4" t="n"/>
      <c r="R876" s="4" t="n"/>
      <c r="S876" s="4" t="n"/>
      <c r="T876" s="4" t="n"/>
      <c r="U876" s="4" t="n"/>
      <c r="V876" s="4" t="n"/>
      <c r="W876" s="4" t="n"/>
    </row>
    <row r="877" ht="15.75" customHeight="1" s="19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  <c r="K877" s="4" t="n"/>
      <c r="L877" s="4" t="n"/>
      <c r="M877" s="4" t="n"/>
      <c r="N877" s="4" t="n"/>
      <c r="O877" s="4" t="n"/>
      <c r="P877" s="4" t="n"/>
      <c r="Q877" s="4" t="n"/>
      <c r="R877" s="4" t="n"/>
      <c r="S877" s="4" t="n"/>
      <c r="T877" s="4" t="n"/>
      <c r="U877" s="4" t="n"/>
      <c r="V877" s="4" t="n"/>
      <c r="W877" s="4" t="n"/>
    </row>
    <row r="878" ht="15.75" customHeight="1" s="19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  <c r="K878" s="4" t="n"/>
      <c r="L878" s="4" t="n"/>
      <c r="M878" s="4" t="n"/>
      <c r="N878" s="4" t="n"/>
      <c r="O878" s="4" t="n"/>
      <c r="P878" s="4" t="n"/>
      <c r="Q878" s="4" t="n"/>
      <c r="R878" s="4" t="n"/>
      <c r="S878" s="4" t="n"/>
      <c r="T878" s="4" t="n"/>
      <c r="U878" s="4" t="n"/>
      <c r="V878" s="4" t="n"/>
      <c r="W878" s="4" t="n"/>
    </row>
    <row r="879" ht="15.75" customHeight="1" s="19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  <c r="K879" s="4" t="n"/>
      <c r="L879" s="4" t="n"/>
      <c r="M879" s="4" t="n"/>
      <c r="N879" s="4" t="n"/>
      <c r="O879" s="4" t="n"/>
      <c r="P879" s="4" t="n"/>
      <c r="Q879" s="4" t="n"/>
      <c r="R879" s="4" t="n"/>
      <c r="S879" s="4" t="n"/>
      <c r="T879" s="4" t="n"/>
      <c r="U879" s="4" t="n"/>
      <c r="V879" s="4" t="n"/>
      <c r="W879" s="4" t="n"/>
    </row>
    <row r="880" ht="15.75" customHeight="1" s="19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  <c r="K880" s="4" t="n"/>
      <c r="L880" s="4" t="n"/>
      <c r="M880" s="4" t="n"/>
      <c r="N880" s="4" t="n"/>
      <c r="O880" s="4" t="n"/>
      <c r="P880" s="4" t="n"/>
      <c r="Q880" s="4" t="n"/>
      <c r="R880" s="4" t="n"/>
      <c r="S880" s="4" t="n"/>
      <c r="T880" s="4" t="n"/>
      <c r="U880" s="4" t="n"/>
      <c r="V880" s="4" t="n"/>
      <c r="W880" s="4" t="n"/>
    </row>
    <row r="881" ht="15.75" customHeight="1" s="19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  <c r="K881" s="4" t="n"/>
      <c r="L881" s="4" t="n"/>
      <c r="M881" s="4" t="n"/>
      <c r="N881" s="4" t="n"/>
      <c r="O881" s="4" t="n"/>
      <c r="P881" s="4" t="n"/>
      <c r="Q881" s="4" t="n"/>
      <c r="R881" s="4" t="n"/>
      <c r="S881" s="4" t="n"/>
      <c r="T881" s="4" t="n"/>
      <c r="U881" s="4" t="n"/>
      <c r="V881" s="4" t="n"/>
      <c r="W881" s="4" t="n"/>
    </row>
    <row r="882" ht="15.75" customHeight="1" s="19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  <c r="K882" s="4" t="n"/>
      <c r="L882" s="4" t="n"/>
      <c r="M882" s="4" t="n"/>
      <c r="N882" s="4" t="n"/>
      <c r="O882" s="4" t="n"/>
      <c r="P882" s="4" t="n"/>
      <c r="Q882" s="4" t="n"/>
      <c r="R882" s="4" t="n"/>
      <c r="S882" s="4" t="n"/>
      <c r="T882" s="4" t="n"/>
      <c r="U882" s="4" t="n"/>
      <c r="V882" s="4" t="n"/>
      <c r="W882" s="4" t="n"/>
    </row>
    <row r="883" ht="15.75" customHeight="1" s="19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  <c r="K883" s="4" t="n"/>
      <c r="L883" s="4" t="n"/>
      <c r="M883" s="4" t="n"/>
      <c r="N883" s="4" t="n"/>
      <c r="O883" s="4" t="n"/>
      <c r="P883" s="4" t="n"/>
      <c r="Q883" s="4" t="n"/>
      <c r="R883" s="4" t="n"/>
      <c r="S883" s="4" t="n"/>
      <c r="T883" s="4" t="n"/>
      <c r="U883" s="4" t="n"/>
      <c r="V883" s="4" t="n"/>
      <c r="W883" s="4" t="n"/>
    </row>
    <row r="884" ht="15.75" customHeight="1" s="19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  <c r="K884" s="4" t="n"/>
      <c r="L884" s="4" t="n"/>
      <c r="M884" s="4" t="n"/>
      <c r="N884" s="4" t="n"/>
      <c r="O884" s="4" t="n"/>
      <c r="P884" s="4" t="n"/>
      <c r="Q884" s="4" t="n"/>
      <c r="R884" s="4" t="n"/>
      <c r="S884" s="4" t="n"/>
      <c r="T884" s="4" t="n"/>
      <c r="U884" s="4" t="n"/>
      <c r="V884" s="4" t="n"/>
      <c r="W884" s="4" t="n"/>
    </row>
    <row r="885" ht="15.75" customHeight="1" s="19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  <c r="K885" s="4" t="n"/>
      <c r="L885" s="4" t="n"/>
      <c r="M885" s="4" t="n"/>
      <c r="N885" s="4" t="n"/>
      <c r="O885" s="4" t="n"/>
      <c r="P885" s="4" t="n"/>
      <c r="Q885" s="4" t="n"/>
      <c r="R885" s="4" t="n"/>
      <c r="S885" s="4" t="n"/>
      <c r="T885" s="4" t="n"/>
      <c r="U885" s="4" t="n"/>
      <c r="V885" s="4" t="n"/>
      <c r="W885" s="4" t="n"/>
    </row>
    <row r="886" ht="15.75" customHeight="1" s="19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  <c r="K886" s="4" t="n"/>
      <c r="L886" s="4" t="n"/>
      <c r="M886" s="4" t="n"/>
      <c r="N886" s="4" t="n"/>
      <c r="O886" s="4" t="n"/>
      <c r="P886" s="4" t="n"/>
      <c r="Q886" s="4" t="n"/>
      <c r="R886" s="4" t="n"/>
      <c r="S886" s="4" t="n"/>
      <c r="T886" s="4" t="n"/>
      <c r="U886" s="4" t="n"/>
      <c r="V886" s="4" t="n"/>
      <c r="W886" s="4" t="n"/>
    </row>
    <row r="887" ht="15.75" customHeight="1" s="19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  <c r="K887" s="4" t="n"/>
      <c r="L887" s="4" t="n"/>
      <c r="M887" s="4" t="n"/>
      <c r="N887" s="4" t="n"/>
      <c r="O887" s="4" t="n"/>
      <c r="P887" s="4" t="n"/>
      <c r="Q887" s="4" t="n"/>
      <c r="R887" s="4" t="n"/>
      <c r="S887" s="4" t="n"/>
      <c r="T887" s="4" t="n"/>
      <c r="U887" s="4" t="n"/>
      <c r="V887" s="4" t="n"/>
      <c r="W887" s="4" t="n"/>
    </row>
    <row r="888" ht="15.75" customHeight="1" s="19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  <c r="K888" s="4" t="n"/>
      <c r="L888" s="4" t="n"/>
      <c r="M888" s="4" t="n"/>
      <c r="N888" s="4" t="n"/>
      <c r="O888" s="4" t="n"/>
      <c r="P888" s="4" t="n"/>
      <c r="Q888" s="4" t="n"/>
      <c r="R888" s="4" t="n"/>
      <c r="S888" s="4" t="n"/>
      <c r="T888" s="4" t="n"/>
      <c r="U888" s="4" t="n"/>
      <c r="V888" s="4" t="n"/>
      <c r="W888" s="4" t="n"/>
    </row>
    <row r="889" ht="15.75" customHeight="1" s="19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  <c r="K889" s="4" t="n"/>
      <c r="L889" s="4" t="n"/>
      <c r="M889" s="4" t="n"/>
      <c r="N889" s="4" t="n"/>
      <c r="O889" s="4" t="n"/>
      <c r="P889" s="4" t="n"/>
      <c r="Q889" s="4" t="n"/>
      <c r="R889" s="4" t="n"/>
      <c r="S889" s="4" t="n"/>
      <c r="T889" s="4" t="n"/>
      <c r="U889" s="4" t="n"/>
      <c r="V889" s="4" t="n"/>
      <c r="W889" s="4" t="n"/>
    </row>
    <row r="890" ht="15.75" customHeight="1" s="19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  <c r="K890" s="4" t="n"/>
      <c r="L890" s="4" t="n"/>
      <c r="M890" s="4" t="n"/>
      <c r="N890" s="4" t="n"/>
      <c r="O890" s="4" t="n"/>
      <c r="P890" s="4" t="n"/>
      <c r="Q890" s="4" t="n"/>
      <c r="R890" s="4" t="n"/>
      <c r="S890" s="4" t="n"/>
      <c r="T890" s="4" t="n"/>
      <c r="U890" s="4" t="n"/>
      <c r="V890" s="4" t="n"/>
      <c r="W890" s="4" t="n"/>
    </row>
    <row r="891" ht="15.75" customHeight="1" s="19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  <c r="K891" s="4" t="n"/>
      <c r="L891" s="4" t="n"/>
      <c r="M891" s="4" t="n"/>
      <c r="N891" s="4" t="n"/>
      <c r="O891" s="4" t="n"/>
      <c r="P891" s="4" t="n"/>
      <c r="Q891" s="4" t="n"/>
      <c r="R891" s="4" t="n"/>
      <c r="S891" s="4" t="n"/>
      <c r="T891" s="4" t="n"/>
      <c r="U891" s="4" t="n"/>
      <c r="V891" s="4" t="n"/>
      <c r="W891" s="4" t="n"/>
    </row>
    <row r="892" ht="15.75" customHeight="1" s="19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  <c r="K892" s="4" t="n"/>
      <c r="L892" s="4" t="n"/>
      <c r="M892" s="4" t="n"/>
      <c r="N892" s="4" t="n"/>
      <c r="O892" s="4" t="n"/>
      <c r="P892" s="4" t="n"/>
      <c r="Q892" s="4" t="n"/>
      <c r="R892" s="4" t="n"/>
      <c r="S892" s="4" t="n"/>
      <c r="T892" s="4" t="n"/>
      <c r="U892" s="4" t="n"/>
      <c r="V892" s="4" t="n"/>
      <c r="W892" s="4" t="n"/>
    </row>
    <row r="893" ht="15.75" customHeight="1" s="19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  <c r="K893" s="4" t="n"/>
      <c r="L893" s="4" t="n"/>
      <c r="M893" s="4" t="n"/>
      <c r="N893" s="4" t="n"/>
      <c r="O893" s="4" t="n"/>
      <c r="P893" s="4" t="n"/>
      <c r="Q893" s="4" t="n"/>
      <c r="R893" s="4" t="n"/>
      <c r="S893" s="4" t="n"/>
      <c r="T893" s="4" t="n"/>
      <c r="U893" s="4" t="n"/>
      <c r="V893" s="4" t="n"/>
      <c r="W893" s="4" t="n"/>
    </row>
    <row r="894" ht="15.75" customHeight="1" s="19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  <c r="K894" s="4" t="n"/>
      <c r="L894" s="4" t="n"/>
      <c r="M894" s="4" t="n"/>
      <c r="N894" s="4" t="n"/>
      <c r="O894" s="4" t="n"/>
      <c r="P894" s="4" t="n"/>
      <c r="Q894" s="4" t="n"/>
      <c r="R894" s="4" t="n"/>
      <c r="S894" s="4" t="n"/>
      <c r="T894" s="4" t="n"/>
      <c r="U894" s="4" t="n"/>
      <c r="V894" s="4" t="n"/>
      <c r="W894" s="4" t="n"/>
    </row>
    <row r="895" ht="15.75" customHeight="1" s="19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  <c r="K895" s="4" t="n"/>
      <c r="L895" s="4" t="n"/>
      <c r="M895" s="4" t="n"/>
      <c r="N895" s="4" t="n"/>
      <c r="O895" s="4" t="n"/>
      <c r="P895" s="4" t="n"/>
      <c r="Q895" s="4" t="n"/>
      <c r="R895" s="4" t="n"/>
      <c r="S895" s="4" t="n"/>
      <c r="T895" s="4" t="n"/>
      <c r="U895" s="4" t="n"/>
      <c r="V895" s="4" t="n"/>
      <c r="W895" s="4" t="n"/>
    </row>
    <row r="896" ht="15.75" customHeight="1" s="19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  <c r="K896" s="4" t="n"/>
      <c r="L896" s="4" t="n"/>
      <c r="M896" s="4" t="n"/>
      <c r="N896" s="4" t="n"/>
      <c r="O896" s="4" t="n"/>
      <c r="P896" s="4" t="n"/>
      <c r="Q896" s="4" t="n"/>
      <c r="R896" s="4" t="n"/>
      <c r="S896" s="4" t="n"/>
      <c r="T896" s="4" t="n"/>
      <c r="U896" s="4" t="n"/>
      <c r="V896" s="4" t="n"/>
      <c r="W896" s="4" t="n"/>
    </row>
    <row r="897" ht="15.75" customHeight="1" s="19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  <c r="K897" s="4" t="n"/>
      <c r="L897" s="4" t="n"/>
      <c r="M897" s="4" t="n"/>
      <c r="N897" s="4" t="n"/>
      <c r="O897" s="4" t="n"/>
      <c r="P897" s="4" t="n"/>
      <c r="Q897" s="4" t="n"/>
      <c r="R897" s="4" t="n"/>
      <c r="S897" s="4" t="n"/>
      <c r="T897" s="4" t="n"/>
      <c r="U897" s="4" t="n"/>
      <c r="V897" s="4" t="n"/>
      <c r="W897" s="4" t="n"/>
    </row>
    <row r="898" ht="15.75" customHeight="1" s="19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  <c r="K898" s="4" t="n"/>
      <c r="L898" s="4" t="n"/>
      <c r="M898" s="4" t="n"/>
      <c r="N898" s="4" t="n"/>
      <c r="O898" s="4" t="n"/>
      <c r="P898" s="4" t="n"/>
      <c r="Q898" s="4" t="n"/>
      <c r="R898" s="4" t="n"/>
      <c r="S898" s="4" t="n"/>
      <c r="T898" s="4" t="n"/>
      <c r="U898" s="4" t="n"/>
      <c r="V898" s="4" t="n"/>
      <c r="W898" s="4" t="n"/>
    </row>
    <row r="899" ht="15.75" customHeight="1" s="19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  <c r="K899" s="4" t="n"/>
      <c r="L899" s="4" t="n"/>
      <c r="M899" s="4" t="n"/>
      <c r="N899" s="4" t="n"/>
      <c r="O899" s="4" t="n"/>
      <c r="P899" s="4" t="n"/>
      <c r="Q899" s="4" t="n"/>
      <c r="R899" s="4" t="n"/>
      <c r="S899" s="4" t="n"/>
      <c r="T899" s="4" t="n"/>
      <c r="U899" s="4" t="n"/>
      <c r="V899" s="4" t="n"/>
      <c r="W899" s="4" t="n"/>
    </row>
    <row r="900" ht="15.75" customHeight="1" s="19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  <c r="K900" s="4" t="n"/>
      <c r="L900" s="4" t="n"/>
      <c r="M900" s="4" t="n"/>
      <c r="N900" s="4" t="n"/>
      <c r="O900" s="4" t="n"/>
      <c r="P900" s="4" t="n"/>
      <c r="Q900" s="4" t="n"/>
      <c r="R900" s="4" t="n"/>
      <c r="S900" s="4" t="n"/>
      <c r="T900" s="4" t="n"/>
      <c r="U900" s="4" t="n"/>
      <c r="V900" s="4" t="n"/>
      <c r="W900" s="4" t="n"/>
    </row>
    <row r="901" ht="15.75" customHeight="1" s="19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  <c r="K901" s="4" t="n"/>
      <c r="L901" s="4" t="n"/>
      <c r="M901" s="4" t="n"/>
      <c r="N901" s="4" t="n"/>
      <c r="O901" s="4" t="n"/>
      <c r="P901" s="4" t="n"/>
      <c r="Q901" s="4" t="n"/>
      <c r="R901" s="4" t="n"/>
      <c r="S901" s="4" t="n"/>
      <c r="T901" s="4" t="n"/>
      <c r="U901" s="4" t="n"/>
      <c r="V901" s="4" t="n"/>
      <c r="W901" s="4" t="n"/>
    </row>
    <row r="902" ht="15.75" customHeight="1" s="19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  <c r="K902" s="4" t="n"/>
      <c r="L902" s="4" t="n"/>
      <c r="M902" s="4" t="n"/>
      <c r="N902" s="4" t="n"/>
      <c r="O902" s="4" t="n"/>
      <c r="P902" s="4" t="n"/>
      <c r="Q902" s="4" t="n"/>
      <c r="R902" s="4" t="n"/>
      <c r="S902" s="4" t="n"/>
      <c r="T902" s="4" t="n"/>
      <c r="U902" s="4" t="n"/>
      <c r="V902" s="4" t="n"/>
      <c r="W902" s="4" t="n"/>
    </row>
    <row r="903" ht="15.75" customHeight="1" s="19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  <c r="K903" s="4" t="n"/>
      <c r="L903" s="4" t="n"/>
      <c r="M903" s="4" t="n"/>
      <c r="N903" s="4" t="n"/>
      <c r="O903" s="4" t="n"/>
      <c r="P903" s="4" t="n"/>
      <c r="Q903" s="4" t="n"/>
      <c r="R903" s="4" t="n"/>
      <c r="S903" s="4" t="n"/>
      <c r="T903" s="4" t="n"/>
      <c r="U903" s="4" t="n"/>
      <c r="V903" s="4" t="n"/>
      <c r="W903" s="4" t="n"/>
    </row>
    <row r="904" ht="15.75" customHeight="1" s="19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  <c r="K904" s="4" t="n"/>
      <c r="L904" s="4" t="n"/>
      <c r="M904" s="4" t="n"/>
      <c r="N904" s="4" t="n"/>
      <c r="O904" s="4" t="n"/>
      <c r="P904" s="4" t="n"/>
      <c r="Q904" s="4" t="n"/>
      <c r="R904" s="4" t="n"/>
      <c r="S904" s="4" t="n"/>
      <c r="T904" s="4" t="n"/>
      <c r="U904" s="4" t="n"/>
      <c r="V904" s="4" t="n"/>
      <c r="W904" s="4" t="n"/>
    </row>
    <row r="905" ht="15.75" customHeight="1" s="19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  <c r="K905" s="4" t="n"/>
      <c r="L905" s="4" t="n"/>
      <c r="M905" s="4" t="n"/>
      <c r="N905" s="4" t="n"/>
      <c r="O905" s="4" t="n"/>
      <c r="P905" s="4" t="n"/>
      <c r="Q905" s="4" t="n"/>
      <c r="R905" s="4" t="n"/>
      <c r="S905" s="4" t="n"/>
      <c r="T905" s="4" t="n"/>
      <c r="U905" s="4" t="n"/>
      <c r="V905" s="4" t="n"/>
      <c r="W905" s="4" t="n"/>
    </row>
    <row r="906" ht="15.75" customHeight="1" s="19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  <c r="K906" s="4" t="n"/>
      <c r="L906" s="4" t="n"/>
      <c r="M906" s="4" t="n"/>
      <c r="N906" s="4" t="n"/>
      <c r="O906" s="4" t="n"/>
      <c r="P906" s="4" t="n"/>
      <c r="Q906" s="4" t="n"/>
      <c r="R906" s="4" t="n"/>
      <c r="S906" s="4" t="n"/>
      <c r="T906" s="4" t="n"/>
      <c r="U906" s="4" t="n"/>
      <c r="V906" s="4" t="n"/>
      <c r="W906" s="4" t="n"/>
    </row>
    <row r="907" ht="15.75" customHeight="1" s="19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  <c r="K907" s="4" t="n"/>
      <c r="L907" s="4" t="n"/>
      <c r="M907" s="4" t="n"/>
      <c r="N907" s="4" t="n"/>
      <c r="O907" s="4" t="n"/>
      <c r="P907" s="4" t="n"/>
      <c r="Q907" s="4" t="n"/>
      <c r="R907" s="4" t="n"/>
      <c r="S907" s="4" t="n"/>
      <c r="T907" s="4" t="n"/>
      <c r="U907" s="4" t="n"/>
      <c r="V907" s="4" t="n"/>
      <c r="W907" s="4" t="n"/>
    </row>
    <row r="908" ht="15.75" customHeight="1" s="19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  <c r="K908" s="4" t="n"/>
      <c r="L908" s="4" t="n"/>
      <c r="M908" s="4" t="n"/>
      <c r="N908" s="4" t="n"/>
      <c r="O908" s="4" t="n"/>
      <c r="P908" s="4" t="n"/>
      <c r="Q908" s="4" t="n"/>
      <c r="R908" s="4" t="n"/>
      <c r="S908" s="4" t="n"/>
      <c r="T908" s="4" t="n"/>
      <c r="U908" s="4" t="n"/>
      <c r="V908" s="4" t="n"/>
      <c r="W908" s="4" t="n"/>
    </row>
    <row r="909" ht="15.75" customHeight="1" s="19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  <c r="K909" s="4" t="n"/>
      <c r="L909" s="4" t="n"/>
      <c r="M909" s="4" t="n"/>
      <c r="N909" s="4" t="n"/>
      <c r="O909" s="4" t="n"/>
      <c r="P909" s="4" t="n"/>
      <c r="Q909" s="4" t="n"/>
      <c r="R909" s="4" t="n"/>
      <c r="S909" s="4" t="n"/>
      <c r="T909" s="4" t="n"/>
      <c r="U909" s="4" t="n"/>
      <c r="V909" s="4" t="n"/>
      <c r="W909" s="4" t="n"/>
    </row>
    <row r="910" ht="15.75" customHeight="1" s="19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  <c r="K910" s="4" t="n"/>
      <c r="L910" s="4" t="n"/>
      <c r="M910" s="4" t="n"/>
      <c r="N910" s="4" t="n"/>
      <c r="O910" s="4" t="n"/>
      <c r="P910" s="4" t="n"/>
      <c r="Q910" s="4" t="n"/>
      <c r="R910" s="4" t="n"/>
      <c r="S910" s="4" t="n"/>
      <c r="T910" s="4" t="n"/>
      <c r="U910" s="4" t="n"/>
      <c r="V910" s="4" t="n"/>
      <c r="W910" s="4" t="n"/>
    </row>
    <row r="911" ht="15.75" customHeight="1" s="19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  <c r="K911" s="4" t="n"/>
      <c r="L911" s="4" t="n"/>
      <c r="M911" s="4" t="n"/>
      <c r="N911" s="4" t="n"/>
      <c r="O911" s="4" t="n"/>
      <c r="P911" s="4" t="n"/>
      <c r="Q911" s="4" t="n"/>
      <c r="R911" s="4" t="n"/>
      <c r="S911" s="4" t="n"/>
      <c r="T911" s="4" t="n"/>
      <c r="U911" s="4" t="n"/>
      <c r="V911" s="4" t="n"/>
      <c r="W911" s="4" t="n"/>
    </row>
    <row r="912" ht="15.75" customHeight="1" s="19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  <c r="K912" s="4" t="n"/>
      <c r="L912" s="4" t="n"/>
      <c r="M912" s="4" t="n"/>
      <c r="N912" s="4" t="n"/>
      <c r="O912" s="4" t="n"/>
      <c r="P912" s="4" t="n"/>
      <c r="Q912" s="4" t="n"/>
      <c r="R912" s="4" t="n"/>
      <c r="S912" s="4" t="n"/>
      <c r="T912" s="4" t="n"/>
      <c r="U912" s="4" t="n"/>
      <c r="V912" s="4" t="n"/>
      <c r="W912" s="4" t="n"/>
    </row>
    <row r="913" ht="15.75" customHeight="1" s="19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  <c r="K913" s="4" t="n"/>
      <c r="L913" s="4" t="n"/>
      <c r="M913" s="4" t="n"/>
      <c r="N913" s="4" t="n"/>
      <c r="O913" s="4" t="n"/>
      <c r="P913" s="4" t="n"/>
      <c r="Q913" s="4" t="n"/>
      <c r="R913" s="4" t="n"/>
      <c r="S913" s="4" t="n"/>
      <c r="T913" s="4" t="n"/>
      <c r="U913" s="4" t="n"/>
      <c r="V913" s="4" t="n"/>
      <c r="W913" s="4" t="n"/>
    </row>
    <row r="914" ht="15.75" customHeight="1" s="19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  <c r="K914" s="4" t="n"/>
      <c r="L914" s="4" t="n"/>
      <c r="M914" s="4" t="n"/>
      <c r="N914" s="4" t="n"/>
      <c r="O914" s="4" t="n"/>
      <c r="P914" s="4" t="n"/>
      <c r="Q914" s="4" t="n"/>
      <c r="R914" s="4" t="n"/>
      <c r="S914" s="4" t="n"/>
      <c r="T914" s="4" t="n"/>
      <c r="U914" s="4" t="n"/>
      <c r="V914" s="4" t="n"/>
      <c r="W914" s="4" t="n"/>
    </row>
    <row r="915" ht="15.75" customHeight="1" s="19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  <c r="K915" s="4" t="n"/>
      <c r="L915" s="4" t="n"/>
      <c r="M915" s="4" t="n"/>
      <c r="N915" s="4" t="n"/>
      <c r="O915" s="4" t="n"/>
      <c r="P915" s="4" t="n"/>
      <c r="Q915" s="4" t="n"/>
      <c r="R915" s="4" t="n"/>
      <c r="S915" s="4" t="n"/>
      <c r="T915" s="4" t="n"/>
      <c r="U915" s="4" t="n"/>
      <c r="V915" s="4" t="n"/>
      <c r="W915" s="4" t="n"/>
    </row>
    <row r="916" ht="15.75" customHeight="1" s="19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  <c r="K916" s="4" t="n"/>
      <c r="L916" s="4" t="n"/>
      <c r="M916" s="4" t="n"/>
      <c r="N916" s="4" t="n"/>
      <c r="O916" s="4" t="n"/>
      <c r="P916" s="4" t="n"/>
      <c r="Q916" s="4" t="n"/>
      <c r="R916" s="4" t="n"/>
      <c r="S916" s="4" t="n"/>
      <c r="T916" s="4" t="n"/>
      <c r="U916" s="4" t="n"/>
      <c r="V916" s="4" t="n"/>
      <c r="W916" s="4" t="n"/>
    </row>
    <row r="917" ht="15.75" customHeight="1" s="19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  <c r="K917" s="4" t="n"/>
      <c r="L917" s="4" t="n"/>
      <c r="M917" s="4" t="n"/>
      <c r="N917" s="4" t="n"/>
      <c r="O917" s="4" t="n"/>
      <c r="P917" s="4" t="n"/>
      <c r="Q917" s="4" t="n"/>
      <c r="R917" s="4" t="n"/>
      <c r="S917" s="4" t="n"/>
      <c r="T917" s="4" t="n"/>
      <c r="U917" s="4" t="n"/>
      <c r="V917" s="4" t="n"/>
      <c r="W917" s="4" t="n"/>
    </row>
    <row r="918" ht="15.75" customHeight="1" s="19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  <c r="K918" s="4" t="n"/>
      <c r="L918" s="4" t="n"/>
      <c r="M918" s="4" t="n"/>
      <c r="N918" s="4" t="n"/>
      <c r="O918" s="4" t="n"/>
      <c r="P918" s="4" t="n"/>
      <c r="Q918" s="4" t="n"/>
      <c r="R918" s="4" t="n"/>
      <c r="S918" s="4" t="n"/>
      <c r="T918" s="4" t="n"/>
      <c r="U918" s="4" t="n"/>
      <c r="V918" s="4" t="n"/>
      <c r="W918" s="4" t="n"/>
    </row>
    <row r="919" ht="15.75" customHeight="1" s="19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  <c r="K919" s="4" t="n"/>
      <c r="L919" s="4" t="n"/>
      <c r="M919" s="4" t="n"/>
      <c r="N919" s="4" t="n"/>
      <c r="O919" s="4" t="n"/>
      <c r="P919" s="4" t="n"/>
      <c r="Q919" s="4" t="n"/>
      <c r="R919" s="4" t="n"/>
      <c r="S919" s="4" t="n"/>
      <c r="T919" s="4" t="n"/>
      <c r="U919" s="4" t="n"/>
      <c r="V919" s="4" t="n"/>
      <c r="W919" s="4" t="n"/>
    </row>
    <row r="920" ht="15.75" customHeight="1" s="19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  <c r="K920" s="4" t="n"/>
      <c r="L920" s="4" t="n"/>
      <c r="M920" s="4" t="n"/>
      <c r="N920" s="4" t="n"/>
      <c r="O920" s="4" t="n"/>
      <c r="P920" s="4" t="n"/>
      <c r="Q920" s="4" t="n"/>
      <c r="R920" s="4" t="n"/>
      <c r="S920" s="4" t="n"/>
      <c r="T920" s="4" t="n"/>
      <c r="U920" s="4" t="n"/>
      <c r="V920" s="4" t="n"/>
      <c r="W920" s="4" t="n"/>
    </row>
    <row r="921" ht="15.75" customHeight="1" s="19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  <c r="K921" s="4" t="n"/>
      <c r="L921" s="4" t="n"/>
      <c r="M921" s="4" t="n"/>
      <c r="N921" s="4" t="n"/>
      <c r="O921" s="4" t="n"/>
      <c r="P921" s="4" t="n"/>
      <c r="Q921" s="4" t="n"/>
      <c r="R921" s="4" t="n"/>
      <c r="S921" s="4" t="n"/>
      <c r="T921" s="4" t="n"/>
      <c r="U921" s="4" t="n"/>
      <c r="V921" s="4" t="n"/>
      <c r="W921" s="4" t="n"/>
    </row>
    <row r="922" ht="15.75" customHeight="1" s="19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  <c r="K922" s="4" t="n"/>
      <c r="L922" s="4" t="n"/>
      <c r="M922" s="4" t="n"/>
      <c r="N922" s="4" t="n"/>
      <c r="O922" s="4" t="n"/>
      <c r="P922" s="4" t="n"/>
      <c r="Q922" s="4" t="n"/>
      <c r="R922" s="4" t="n"/>
      <c r="S922" s="4" t="n"/>
      <c r="T922" s="4" t="n"/>
      <c r="U922" s="4" t="n"/>
      <c r="V922" s="4" t="n"/>
      <c r="W922" s="4" t="n"/>
    </row>
    <row r="923" ht="15.75" customHeight="1" s="19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  <c r="K923" s="4" t="n"/>
      <c r="L923" s="4" t="n"/>
      <c r="M923" s="4" t="n"/>
      <c r="N923" s="4" t="n"/>
      <c r="O923" s="4" t="n"/>
      <c r="P923" s="4" t="n"/>
      <c r="Q923" s="4" t="n"/>
      <c r="R923" s="4" t="n"/>
      <c r="S923" s="4" t="n"/>
      <c r="T923" s="4" t="n"/>
      <c r="U923" s="4" t="n"/>
      <c r="V923" s="4" t="n"/>
      <c r="W923" s="4" t="n"/>
    </row>
    <row r="924" ht="15.75" customHeight="1" s="19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  <c r="K924" s="4" t="n"/>
      <c r="L924" s="4" t="n"/>
      <c r="M924" s="4" t="n"/>
      <c r="N924" s="4" t="n"/>
      <c r="O924" s="4" t="n"/>
      <c r="P924" s="4" t="n"/>
      <c r="Q924" s="4" t="n"/>
      <c r="R924" s="4" t="n"/>
      <c r="S924" s="4" t="n"/>
      <c r="T924" s="4" t="n"/>
      <c r="U924" s="4" t="n"/>
      <c r="V924" s="4" t="n"/>
      <c r="W924" s="4" t="n"/>
    </row>
    <row r="925" ht="15.75" customHeight="1" s="19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  <c r="K925" s="4" t="n"/>
      <c r="L925" s="4" t="n"/>
      <c r="M925" s="4" t="n"/>
      <c r="N925" s="4" t="n"/>
      <c r="O925" s="4" t="n"/>
      <c r="P925" s="4" t="n"/>
      <c r="Q925" s="4" t="n"/>
      <c r="R925" s="4" t="n"/>
      <c r="S925" s="4" t="n"/>
      <c r="T925" s="4" t="n"/>
      <c r="U925" s="4" t="n"/>
      <c r="V925" s="4" t="n"/>
      <c r="W925" s="4" t="n"/>
    </row>
    <row r="926" ht="15.75" customHeight="1" s="19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  <c r="K926" s="4" t="n"/>
      <c r="L926" s="4" t="n"/>
      <c r="M926" s="4" t="n"/>
      <c r="N926" s="4" t="n"/>
      <c r="O926" s="4" t="n"/>
      <c r="P926" s="4" t="n"/>
      <c r="Q926" s="4" t="n"/>
      <c r="R926" s="4" t="n"/>
      <c r="S926" s="4" t="n"/>
      <c r="T926" s="4" t="n"/>
      <c r="U926" s="4" t="n"/>
      <c r="V926" s="4" t="n"/>
      <c r="W926" s="4" t="n"/>
    </row>
    <row r="927" ht="15.75" customHeight="1" s="19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  <c r="K927" s="4" t="n"/>
      <c r="L927" s="4" t="n"/>
      <c r="M927" s="4" t="n"/>
      <c r="N927" s="4" t="n"/>
      <c r="O927" s="4" t="n"/>
      <c r="P927" s="4" t="n"/>
      <c r="Q927" s="4" t="n"/>
      <c r="R927" s="4" t="n"/>
      <c r="S927" s="4" t="n"/>
      <c r="T927" s="4" t="n"/>
      <c r="U927" s="4" t="n"/>
      <c r="V927" s="4" t="n"/>
      <c r="W927" s="4" t="n"/>
    </row>
    <row r="928" ht="15.75" customHeight="1" s="19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  <c r="K928" s="4" t="n"/>
      <c r="L928" s="4" t="n"/>
      <c r="M928" s="4" t="n"/>
      <c r="N928" s="4" t="n"/>
      <c r="O928" s="4" t="n"/>
      <c r="P928" s="4" t="n"/>
      <c r="Q928" s="4" t="n"/>
      <c r="R928" s="4" t="n"/>
      <c r="S928" s="4" t="n"/>
      <c r="T928" s="4" t="n"/>
      <c r="U928" s="4" t="n"/>
      <c r="V928" s="4" t="n"/>
      <c r="W928" s="4" t="n"/>
    </row>
    <row r="929" ht="15.75" customHeight="1" s="19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  <c r="K929" s="4" t="n"/>
      <c r="L929" s="4" t="n"/>
      <c r="M929" s="4" t="n"/>
      <c r="N929" s="4" t="n"/>
      <c r="O929" s="4" t="n"/>
      <c r="P929" s="4" t="n"/>
      <c r="Q929" s="4" t="n"/>
      <c r="R929" s="4" t="n"/>
      <c r="S929" s="4" t="n"/>
      <c r="T929" s="4" t="n"/>
      <c r="U929" s="4" t="n"/>
      <c r="V929" s="4" t="n"/>
      <c r="W929" s="4" t="n"/>
    </row>
    <row r="930" ht="15.75" customHeight="1" s="19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  <c r="K930" s="4" t="n"/>
      <c r="L930" s="4" t="n"/>
      <c r="M930" s="4" t="n"/>
      <c r="N930" s="4" t="n"/>
      <c r="O930" s="4" t="n"/>
      <c r="P930" s="4" t="n"/>
      <c r="Q930" s="4" t="n"/>
      <c r="R930" s="4" t="n"/>
      <c r="S930" s="4" t="n"/>
      <c r="T930" s="4" t="n"/>
      <c r="U930" s="4" t="n"/>
      <c r="V930" s="4" t="n"/>
      <c r="W930" s="4" t="n"/>
    </row>
    <row r="931" ht="15.75" customHeight="1" s="19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  <c r="K931" s="4" t="n"/>
      <c r="L931" s="4" t="n"/>
      <c r="M931" s="4" t="n"/>
      <c r="N931" s="4" t="n"/>
      <c r="O931" s="4" t="n"/>
      <c r="P931" s="4" t="n"/>
      <c r="Q931" s="4" t="n"/>
      <c r="R931" s="4" t="n"/>
      <c r="S931" s="4" t="n"/>
      <c r="T931" s="4" t="n"/>
      <c r="U931" s="4" t="n"/>
      <c r="V931" s="4" t="n"/>
      <c r="W931" s="4" t="n"/>
    </row>
    <row r="932" ht="15.75" customHeight="1" s="19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  <c r="K932" s="4" t="n"/>
      <c r="L932" s="4" t="n"/>
      <c r="M932" s="4" t="n"/>
      <c r="N932" s="4" t="n"/>
      <c r="O932" s="4" t="n"/>
      <c r="P932" s="4" t="n"/>
      <c r="Q932" s="4" t="n"/>
      <c r="R932" s="4" t="n"/>
      <c r="S932" s="4" t="n"/>
      <c r="T932" s="4" t="n"/>
      <c r="U932" s="4" t="n"/>
      <c r="V932" s="4" t="n"/>
      <c r="W932" s="4" t="n"/>
    </row>
    <row r="933" ht="15.75" customHeight="1" s="19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  <c r="K933" s="4" t="n"/>
      <c r="L933" s="4" t="n"/>
      <c r="M933" s="4" t="n"/>
      <c r="N933" s="4" t="n"/>
      <c r="O933" s="4" t="n"/>
      <c r="P933" s="4" t="n"/>
      <c r="Q933" s="4" t="n"/>
      <c r="R933" s="4" t="n"/>
      <c r="S933" s="4" t="n"/>
      <c r="T933" s="4" t="n"/>
      <c r="U933" s="4" t="n"/>
      <c r="V933" s="4" t="n"/>
      <c r="W933" s="4" t="n"/>
    </row>
    <row r="934" ht="15.75" customHeight="1" s="19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  <c r="K934" s="4" t="n"/>
      <c r="L934" s="4" t="n"/>
      <c r="M934" s="4" t="n"/>
      <c r="N934" s="4" t="n"/>
      <c r="O934" s="4" t="n"/>
      <c r="P934" s="4" t="n"/>
      <c r="Q934" s="4" t="n"/>
      <c r="R934" s="4" t="n"/>
      <c r="S934" s="4" t="n"/>
      <c r="T934" s="4" t="n"/>
      <c r="U934" s="4" t="n"/>
      <c r="V934" s="4" t="n"/>
      <c r="W934" s="4" t="n"/>
    </row>
    <row r="935" ht="15.75" customHeight="1" s="19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  <c r="K935" s="4" t="n"/>
      <c r="L935" s="4" t="n"/>
      <c r="M935" s="4" t="n"/>
      <c r="N935" s="4" t="n"/>
      <c r="O935" s="4" t="n"/>
      <c r="P935" s="4" t="n"/>
      <c r="Q935" s="4" t="n"/>
      <c r="R935" s="4" t="n"/>
      <c r="S935" s="4" t="n"/>
      <c r="T935" s="4" t="n"/>
      <c r="U935" s="4" t="n"/>
      <c r="V935" s="4" t="n"/>
      <c r="W935" s="4" t="n"/>
    </row>
    <row r="936" ht="15.75" customHeight="1" s="19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  <c r="K936" s="4" t="n"/>
      <c r="L936" s="4" t="n"/>
      <c r="M936" s="4" t="n"/>
      <c r="N936" s="4" t="n"/>
      <c r="O936" s="4" t="n"/>
      <c r="P936" s="4" t="n"/>
      <c r="Q936" s="4" t="n"/>
      <c r="R936" s="4" t="n"/>
      <c r="S936" s="4" t="n"/>
      <c r="T936" s="4" t="n"/>
      <c r="U936" s="4" t="n"/>
      <c r="V936" s="4" t="n"/>
      <c r="W936" s="4" t="n"/>
    </row>
    <row r="937" ht="15.75" customHeight="1" s="19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  <c r="K937" s="4" t="n"/>
      <c r="L937" s="4" t="n"/>
      <c r="M937" s="4" t="n"/>
      <c r="N937" s="4" t="n"/>
      <c r="O937" s="4" t="n"/>
      <c r="P937" s="4" t="n"/>
      <c r="Q937" s="4" t="n"/>
      <c r="R937" s="4" t="n"/>
      <c r="S937" s="4" t="n"/>
      <c r="T937" s="4" t="n"/>
      <c r="U937" s="4" t="n"/>
      <c r="V937" s="4" t="n"/>
      <c r="W937" s="4" t="n"/>
    </row>
    <row r="938" ht="15.75" customHeight="1" s="19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  <c r="K938" s="4" t="n"/>
      <c r="L938" s="4" t="n"/>
      <c r="M938" s="4" t="n"/>
      <c r="N938" s="4" t="n"/>
      <c r="O938" s="4" t="n"/>
      <c r="P938" s="4" t="n"/>
      <c r="Q938" s="4" t="n"/>
      <c r="R938" s="4" t="n"/>
      <c r="S938" s="4" t="n"/>
      <c r="T938" s="4" t="n"/>
      <c r="U938" s="4" t="n"/>
      <c r="V938" s="4" t="n"/>
      <c r="W938" s="4" t="n"/>
    </row>
    <row r="939" ht="15.75" customHeight="1" s="19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  <c r="K939" s="4" t="n"/>
      <c r="L939" s="4" t="n"/>
      <c r="M939" s="4" t="n"/>
      <c r="N939" s="4" t="n"/>
      <c r="O939" s="4" t="n"/>
      <c r="P939" s="4" t="n"/>
      <c r="Q939" s="4" t="n"/>
      <c r="R939" s="4" t="n"/>
      <c r="S939" s="4" t="n"/>
      <c r="T939" s="4" t="n"/>
      <c r="U939" s="4" t="n"/>
      <c r="V939" s="4" t="n"/>
      <c r="W939" s="4" t="n"/>
    </row>
    <row r="940" ht="15.75" customHeight="1" s="19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  <c r="K940" s="4" t="n"/>
      <c r="L940" s="4" t="n"/>
      <c r="M940" s="4" t="n"/>
      <c r="N940" s="4" t="n"/>
      <c r="O940" s="4" t="n"/>
      <c r="P940" s="4" t="n"/>
      <c r="Q940" s="4" t="n"/>
      <c r="R940" s="4" t="n"/>
      <c r="S940" s="4" t="n"/>
      <c r="T940" s="4" t="n"/>
      <c r="U940" s="4" t="n"/>
      <c r="V940" s="4" t="n"/>
      <c r="W940" s="4" t="n"/>
    </row>
    <row r="941" ht="15.75" customHeight="1" s="19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  <c r="K941" s="4" t="n"/>
      <c r="L941" s="4" t="n"/>
      <c r="M941" s="4" t="n"/>
      <c r="N941" s="4" t="n"/>
      <c r="O941" s="4" t="n"/>
      <c r="P941" s="4" t="n"/>
      <c r="Q941" s="4" t="n"/>
      <c r="R941" s="4" t="n"/>
      <c r="S941" s="4" t="n"/>
      <c r="T941" s="4" t="n"/>
      <c r="U941" s="4" t="n"/>
      <c r="V941" s="4" t="n"/>
      <c r="W941" s="4" t="n"/>
    </row>
    <row r="942" ht="15.75" customHeight="1" s="19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  <c r="K942" s="4" t="n"/>
      <c r="L942" s="4" t="n"/>
      <c r="M942" s="4" t="n"/>
      <c r="N942" s="4" t="n"/>
      <c r="O942" s="4" t="n"/>
      <c r="P942" s="4" t="n"/>
      <c r="Q942" s="4" t="n"/>
      <c r="R942" s="4" t="n"/>
      <c r="S942" s="4" t="n"/>
      <c r="T942" s="4" t="n"/>
      <c r="U942" s="4" t="n"/>
      <c r="V942" s="4" t="n"/>
      <c r="W942" s="4" t="n"/>
    </row>
    <row r="943" ht="15.75" customHeight="1" s="19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  <c r="K943" s="4" t="n"/>
      <c r="L943" s="4" t="n"/>
      <c r="M943" s="4" t="n"/>
      <c r="N943" s="4" t="n"/>
      <c r="O943" s="4" t="n"/>
      <c r="P943" s="4" t="n"/>
      <c r="Q943" s="4" t="n"/>
      <c r="R943" s="4" t="n"/>
      <c r="S943" s="4" t="n"/>
      <c r="T943" s="4" t="n"/>
      <c r="U943" s="4" t="n"/>
      <c r="V943" s="4" t="n"/>
      <c r="W943" s="4" t="n"/>
    </row>
    <row r="944" ht="15.75" customHeight="1" s="19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  <c r="K944" s="4" t="n"/>
      <c r="L944" s="4" t="n"/>
      <c r="M944" s="4" t="n"/>
      <c r="N944" s="4" t="n"/>
      <c r="O944" s="4" t="n"/>
      <c r="P944" s="4" t="n"/>
      <c r="Q944" s="4" t="n"/>
      <c r="R944" s="4" t="n"/>
      <c r="S944" s="4" t="n"/>
      <c r="T944" s="4" t="n"/>
      <c r="U944" s="4" t="n"/>
      <c r="V944" s="4" t="n"/>
      <c r="W944" s="4" t="n"/>
    </row>
    <row r="945" ht="15.75" customHeight="1" s="19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  <c r="K945" s="4" t="n"/>
      <c r="L945" s="4" t="n"/>
      <c r="M945" s="4" t="n"/>
      <c r="N945" s="4" t="n"/>
      <c r="O945" s="4" t="n"/>
      <c r="P945" s="4" t="n"/>
      <c r="Q945" s="4" t="n"/>
      <c r="R945" s="4" t="n"/>
      <c r="S945" s="4" t="n"/>
      <c r="T945" s="4" t="n"/>
      <c r="U945" s="4" t="n"/>
      <c r="V945" s="4" t="n"/>
      <c r="W945" s="4" t="n"/>
    </row>
    <row r="946" ht="15.75" customHeight="1" s="19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  <c r="K946" s="4" t="n"/>
      <c r="L946" s="4" t="n"/>
      <c r="M946" s="4" t="n"/>
      <c r="N946" s="4" t="n"/>
      <c r="O946" s="4" t="n"/>
      <c r="P946" s="4" t="n"/>
      <c r="Q946" s="4" t="n"/>
      <c r="R946" s="4" t="n"/>
      <c r="S946" s="4" t="n"/>
      <c r="T946" s="4" t="n"/>
      <c r="U946" s="4" t="n"/>
      <c r="V946" s="4" t="n"/>
      <c r="W946" s="4" t="n"/>
    </row>
    <row r="947" ht="15.75" customHeight="1" s="19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  <c r="K947" s="4" t="n"/>
      <c r="L947" s="4" t="n"/>
      <c r="M947" s="4" t="n"/>
      <c r="N947" s="4" t="n"/>
      <c r="O947" s="4" t="n"/>
      <c r="P947" s="4" t="n"/>
      <c r="Q947" s="4" t="n"/>
      <c r="R947" s="4" t="n"/>
      <c r="S947" s="4" t="n"/>
      <c r="T947" s="4" t="n"/>
      <c r="U947" s="4" t="n"/>
      <c r="V947" s="4" t="n"/>
      <c r="W947" s="4" t="n"/>
    </row>
    <row r="948" ht="15.75" customHeight="1" s="19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  <c r="K948" s="4" t="n"/>
      <c r="L948" s="4" t="n"/>
      <c r="M948" s="4" t="n"/>
      <c r="N948" s="4" t="n"/>
      <c r="O948" s="4" t="n"/>
      <c r="P948" s="4" t="n"/>
      <c r="Q948" s="4" t="n"/>
      <c r="R948" s="4" t="n"/>
      <c r="S948" s="4" t="n"/>
      <c r="T948" s="4" t="n"/>
      <c r="U948" s="4" t="n"/>
      <c r="V948" s="4" t="n"/>
      <c r="W948" s="4" t="n"/>
    </row>
    <row r="949" ht="15.75" customHeight="1" s="19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  <c r="K949" s="4" t="n"/>
      <c r="L949" s="4" t="n"/>
      <c r="M949" s="4" t="n"/>
      <c r="N949" s="4" t="n"/>
      <c r="O949" s="4" t="n"/>
      <c r="P949" s="4" t="n"/>
      <c r="Q949" s="4" t="n"/>
      <c r="R949" s="4" t="n"/>
      <c r="S949" s="4" t="n"/>
      <c r="T949" s="4" t="n"/>
      <c r="U949" s="4" t="n"/>
      <c r="V949" s="4" t="n"/>
      <c r="W949" s="4" t="n"/>
    </row>
    <row r="950" ht="15.75" customHeight="1" s="19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  <c r="K950" s="4" t="n"/>
      <c r="L950" s="4" t="n"/>
      <c r="M950" s="4" t="n"/>
      <c r="N950" s="4" t="n"/>
      <c r="O950" s="4" t="n"/>
      <c r="P950" s="4" t="n"/>
      <c r="Q950" s="4" t="n"/>
      <c r="R950" s="4" t="n"/>
      <c r="S950" s="4" t="n"/>
      <c r="T950" s="4" t="n"/>
      <c r="U950" s="4" t="n"/>
      <c r="V950" s="4" t="n"/>
      <c r="W950" s="4" t="n"/>
    </row>
    <row r="951" ht="15.75" customHeight="1" s="19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  <c r="K951" s="4" t="n"/>
      <c r="L951" s="4" t="n"/>
      <c r="M951" s="4" t="n"/>
      <c r="N951" s="4" t="n"/>
      <c r="O951" s="4" t="n"/>
      <c r="P951" s="4" t="n"/>
      <c r="Q951" s="4" t="n"/>
      <c r="R951" s="4" t="n"/>
      <c r="S951" s="4" t="n"/>
      <c r="T951" s="4" t="n"/>
      <c r="U951" s="4" t="n"/>
      <c r="V951" s="4" t="n"/>
      <c r="W951" s="4" t="n"/>
    </row>
    <row r="952" ht="15.75" customHeight="1" s="19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  <c r="K952" s="4" t="n"/>
      <c r="L952" s="4" t="n"/>
      <c r="M952" s="4" t="n"/>
      <c r="N952" s="4" t="n"/>
      <c r="O952" s="4" t="n"/>
      <c r="P952" s="4" t="n"/>
      <c r="Q952" s="4" t="n"/>
      <c r="R952" s="4" t="n"/>
      <c r="S952" s="4" t="n"/>
      <c r="T952" s="4" t="n"/>
      <c r="U952" s="4" t="n"/>
      <c r="V952" s="4" t="n"/>
      <c r="W952" s="4" t="n"/>
    </row>
    <row r="953" ht="15.75" customHeight="1" s="19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  <c r="K953" s="4" t="n"/>
      <c r="L953" s="4" t="n"/>
      <c r="M953" s="4" t="n"/>
      <c r="N953" s="4" t="n"/>
      <c r="O953" s="4" t="n"/>
      <c r="P953" s="4" t="n"/>
      <c r="Q953" s="4" t="n"/>
      <c r="R953" s="4" t="n"/>
      <c r="S953" s="4" t="n"/>
      <c r="T953" s="4" t="n"/>
      <c r="U953" s="4" t="n"/>
      <c r="V953" s="4" t="n"/>
      <c r="W953" s="4" t="n"/>
    </row>
    <row r="954" ht="15.75" customHeight="1" s="19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  <c r="K954" s="4" t="n"/>
      <c r="L954" s="4" t="n"/>
      <c r="M954" s="4" t="n"/>
      <c r="N954" s="4" t="n"/>
      <c r="O954" s="4" t="n"/>
      <c r="P954" s="4" t="n"/>
      <c r="Q954" s="4" t="n"/>
      <c r="R954" s="4" t="n"/>
      <c r="S954" s="4" t="n"/>
      <c r="T954" s="4" t="n"/>
      <c r="U954" s="4" t="n"/>
      <c r="V954" s="4" t="n"/>
      <c r="W954" s="4" t="n"/>
    </row>
    <row r="955" ht="15.75" customHeight="1" s="19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  <c r="K955" s="4" t="n"/>
      <c r="L955" s="4" t="n"/>
      <c r="M955" s="4" t="n"/>
      <c r="N955" s="4" t="n"/>
      <c r="O955" s="4" t="n"/>
      <c r="P955" s="4" t="n"/>
      <c r="Q955" s="4" t="n"/>
      <c r="R955" s="4" t="n"/>
      <c r="S955" s="4" t="n"/>
      <c r="T955" s="4" t="n"/>
      <c r="U955" s="4" t="n"/>
      <c r="V955" s="4" t="n"/>
      <c r="W955" s="4" t="n"/>
    </row>
    <row r="956" ht="15.75" customHeight="1" s="19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  <c r="K956" s="4" t="n"/>
      <c r="L956" s="4" t="n"/>
      <c r="M956" s="4" t="n"/>
      <c r="N956" s="4" t="n"/>
      <c r="O956" s="4" t="n"/>
      <c r="P956" s="4" t="n"/>
      <c r="Q956" s="4" t="n"/>
      <c r="R956" s="4" t="n"/>
      <c r="S956" s="4" t="n"/>
      <c r="T956" s="4" t="n"/>
      <c r="U956" s="4" t="n"/>
      <c r="V956" s="4" t="n"/>
      <c r="W956" s="4" t="n"/>
    </row>
    <row r="957" ht="15.75" customHeight="1" s="19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  <c r="K957" s="4" t="n"/>
      <c r="L957" s="4" t="n"/>
      <c r="M957" s="4" t="n"/>
      <c r="N957" s="4" t="n"/>
      <c r="O957" s="4" t="n"/>
      <c r="P957" s="4" t="n"/>
      <c r="Q957" s="4" t="n"/>
      <c r="R957" s="4" t="n"/>
      <c r="S957" s="4" t="n"/>
      <c r="T957" s="4" t="n"/>
      <c r="U957" s="4" t="n"/>
      <c r="V957" s="4" t="n"/>
      <c r="W957" s="4" t="n"/>
    </row>
    <row r="958" ht="15.75" customHeight="1" s="19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  <c r="K958" s="4" t="n"/>
      <c r="L958" s="4" t="n"/>
      <c r="M958" s="4" t="n"/>
      <c r="N958" s="4" t="n"/>
      <c r="O958" s="4" t="n"/>
      <c r="P958" s="4" t="n"/>
      <c r="Q958" s="4" t="n"/>
      <c r="R958" s="4" t="n"/>
      <c r="S958" s="4" t="n"/>
      <c r="T958" s="4" t="n"/>
      <c r="U958" s="4" t="n"/>
      <c r="V958" s="4" t="n"/>
      <c r="W958" s="4" t="n"/>
    </row>
    <row r="959" ht="15.75" customHeight="1" s="19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  <c r="K959" s="4" t="n"/>
      <c r="L959" s="4" t="n"/>
      <c r="M959" s="4" t="n"/>
      <c r="N959" s="4" t="n"/>
      <c r="O959" s="4" t="n"/>
      <c r="P959" s="4" t="n"/>
      <c r="Q959" s="4" t="n"/>
      <c r="R959" s="4" t="n"/>
      <c r="S959" s="4" t="n"/>
      <c r="T959" s="4" t="n"/>
      <c r="U959" s="4" t="n"/>
      <c r="V959" s="4" t="n"/>
      <c r="W959" s="4" t="n"/>
    </row>
    <row r="960" ht="15.75" customHeight="1" s="19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  <c r="K960" s="4" t="n"/>
      <c r="L960" s="4" t="n"/>
      <c r="M960" s="4" t="n"/>
      <c r="N960" s="4" t="n"/>
      <c r="O960" s="4" t="n"/>
      <c r="P960" s="4" t="n"/>
      <c r="Q960" s="4" t="n"/>
      <c r="R960" s="4" t="n"/>
      <c r="S960" s="4" t="n"/>
      <c r="T960" s="4" t="n"/>
      <c r="U960" s="4" t="n"/>
      <c r="V960" s="4" t="n"/>
      <c r="W960" s="4" t="n"/>
    </row>
    <row r="961" ht="15.75" customHeight="1" s="19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  <c r="K961" s="4" t="n"/>
      <c r="L961" s="4" t="n"/>
      <c r="M961" s="4" t="n"/>
      <c r="N961" s="4" t="n"/>
      <c r="O961" s="4" t="n"/>
      <c r="P961" s="4" t="n"/>
      <c r="Q961" s="4" t="n"/>
      <c r="R961" s="4" t="n"/>
      <c r="S961" s="4" t="n"/>
      <c r="T961" s="4" t="n"/>
      <c r="U961" s="4" t="n"/>
      <c r="V961" s="4" t="n"/>
      <c r="W961" s="4" t="n"/>
    </row>
    <row r="962" ht="15.75" customHeight="1" s="19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  <c r="K962" s="4" t="n"/>
      <c r="L962" s="4" t="n"/>
      <c r="M962" s="4" t="n"/>
      <c r="N962" s="4" t="n"/>
      <c r="O962" s="4" t="n"/>
      <c r="P962" s="4" t="n"/>
      <c r="Q962" s="4" t="n"/>
      <c r="R962" s="4" t="n"/>
      <c r="S962" s="4" t="n"/>
      <c r="T962" s="4" t="n"/>
      <c r="U962" s="4" t="n"/>
      <c r="V962" s="4" t="n"/>
      <c r="W962" s="4" t="n"/>
    </row>
    <row r="963" ht="15.75" customHeight="1" s="19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  <c r="K963" s="4" t="n"/>
      <c r="L963" s="4" t="n"/>
      <c r="M963" s="4" t="n"/>
      <c r="N963" s="4" t="n"/>
      <c r="O963" s="4" t="n"/>
      <c r="P963" s="4" t="n"/>
      <c r="Q963" s="4" t="n"/>
      <c r="R963" s="4" t="n"/>
      <c r="S963" s="4" t="n"/>
      <c r="T963" s="4" t="n"/>
      <c r="U963" s="4" t="n"/>
      <c r="V963" s="4" t="n"/>
      <c r="W963" s="4" t="n"/>
    </row>
    <row r="964" ht="15.75" customHeight="1" s="19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  <c r="K964" s="4" t="n"/>
      <c r="L964" s="4" t="n"/>
      <c r="M964" s="4" t="n"/>
      <c r="N964" s="4" t="n"/>
      <c r="O964" s="4" t="n"/>
      <c r="P964" s="4" t="n"/>
      <c r="Q964" s="4" t="n"/>
      <c r="R964" s="4" t="n"/>
      <c r="S964" s="4" t="n"/>
      <c r="T964" s="4" t="n"/>
      <c r="U964" s="4" t="n"/>
      <c r="V964" s="4" t="n"/>
      <c r="W964" s="4" t="n"/>
    </row>
    <row r="965" ht="15.75" customHeight="1" s="19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  <c r="K965" s="4" t="n"/>
      <c r="L965" s="4" t="n"/>
      <c r="M965" s="4" t="n"/>
      <c r="N965" s="4" t="n"/>
      <c r="O965" s="4" t="n"/>
      <c r="P965" s="4" t="n"/>
      <c r="Q965" s="4" t="n"/>
      <c r="R965" s="4" t="n"/>
      <c r="S965" s="4" t="n"/>
      <c r="T965" s="4" t="n"/>
      <c r="U965" s="4" t="n"/>
      <c r="V965" s="4" t="n"/>
      <c r="W965" s="4" t="n"/>
    </row>
    <row r="966" ht="15.75" customHeight="1" s="19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  <c r="K966" s="4" t="n"/>
      <c r="L966" s="4" t="n"/>
      <c r="M966" s="4" t="n"/>
      <c r="N966" s="4" t="n"/>
      <c r="O966" s="4" t="n"/>
      <c r="P966" s="4" t="n"/>
      <c r="Q966" s="4" t="n"/>
      <c r="R966" s="4" t="n"/>
      <c r="S966" s="4" t="n"/>
      <c r="T966" s="4" t="n"/>
      <c r="U966" s="4" t="n"/>
      <c r="V966" s="4" t="n"/>
      <c r="W966" s="4" t="n"/>
    </row>
    <row r="967" ht="15.75" customHeight="1" s="19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  <c r="K967" s="4" t="n"/>
      <c r="L967" s="4" t="n"/>
      <c r="M967" s="4" t="n"/>
      <c r="N967" s="4" t="n"/>
      <c r="O967" s="4" t="n"/>
      <c r="P967" s="4" t="n"/>
      <c r="Q967" s="4" t="n"/>
      <c r="R967" s="4" t="n"/>
      <c r="S967" s="4" t="n"/>
      <c r="T967" s="4" t="n"/>
      <c r="U967" s="4" t="n"/>
      <c r="V967" s="4" t="n"/>
      <c r="W967" s="4" t="n"/>
    </row>
    <row r="968" ht="15.75" customHeight="1" s="19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  <c r="K968" s="4" t="n"/>
      <c r="L968" s="4" t="n"/>
      <c r="M968" s="4" t="n"/>
      <c r="N968" s="4" t="n"/>
      <c r="O968" s="4" t="n"/>
      <c r="P968" s="4" t="n"/>
      <c r="Q968" s="4" t="n"/>
      <c r="R968" s="4" t="n"/>
      <c r="S968" s="4" t="n"/>
      <c r="T968" s="4" t="n"/>
      <c r="U968" s="4" t="n"/>
      <c r="V968" s="4" t="n"/>
      <c r="W968" s="4" t="n"/>
    </row>
    <row r="969" ht="15.75" customHeight="1" s="19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  <c r="K969" s="4" t="n"/>
      <c r="L969" s="4" t="n"/>
      <c r="M969" s="4" t="n"/>
      <c r="N969" s="4" t="n"/>
      <c r="O969" s="4" t="n"/>
      <c r="P969" s="4" t="n"/>
      <c r="Q969" s="4" t="n"/>
      <c r="R969" s="4" t="n"/>
      <c r="S969" s="4" t="n"/>
      <c r="T969" s="4" t="n"/>
      <c r="U969" s="4" t="n"/>
      <c r="V969" s="4" t="n"/>
      <c r="W969" s="4" t="n"/>
    </row>
    <row r="970" ht="15.75" customHeight="1" s="19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  <c r="K970" s="4" t="n"/>
      <c r="L970" s="4" t="n"/>
      <c r="M970" s="4" t="n"/>
      <c r="N970" s="4" t="n"/>
      <c r="O970" s="4" t="n"/>
      <c r="P970" s="4" t="n"/>
      <c r="Q970" s="4" t="n"/>
      <c r="R970" s="4" t="n"/>
      <c r="S970" s="4" t="n"/>
      <c r="T970" s="4" t="n"/>
      <c r="U970" s="4" t="n"/>
      <c r="V970" s="4" t="n"/>
      <c r="W970" s="4" t="n"/>
    </row>
    <row r="971" ht="15.75" customHeight="1" s="19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  <c r="K971" s="4" t="n"/>
      <c r="L971" s="4" t="n"/>
      <c r="M971" s="4" t="n"/>
      <c r="N971" s="4" t="n"/>
      <c r="O971" s="4" t="n"/>
      <c r="P971" s="4" t="n"/>
      <c r="Q971" s="4" t="n"/>
      <c r="R971" s="4" t="n"/>
      <c r="S971" s="4" t="n"/>
      <c r="T971" s="4" t="n"/>
      <c r="U971" s="4" t="n"/>
      <c r="V971" s="4" t="n"/>
      <c r="W971" s="4" t="n"/>
    </row>
    <row r="972" ht="15.75" customHeight="1" s="19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  <c r="K972" s="4" t="n"/>
      <c r="L972" s="4" t="n"/>
      <c r="M972" s="4" t="n"/>
      <c r="N972" s="4" t="n"/>
      <c r="O972" s="4" t="n"/>
      <c r="P972" s="4" t="n"/>
      <c r="Q972" s="4" t="n"/>
      <c r="R972" s="4" t="n"/>
      <c r="S972" s="4" t="n"/>
      <c r="T972" s="4" t="n"/>
      <c r="U972" s="4" t="n"/>
      <c r="V972" s="4" t="n"/>
      <c r="W972" s="4" t="n"/>
    </row>
    <row r="973" ht="15.75" customHeight="1" s="19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  <c r="K973" s="4" t="n"/>
      <c r="L973" s="4" t="n"/>
      <c r="M973" s="4" t="n"/>
      <c r="N973" s="4" t="n"/>
      <c r="O973" s="4" t="n"/>
      <c r="P973" s="4" t="n"/>
      <c r="Q973" s="4" t="n"/>
      <c r="R973" s="4" t="n"/>
      <c r="S973" s="4" t="n"/>
      <c r="T973" s="4" t="n"/>
      <c r="U973" s="4" t="n"/>
      <c r="V973" s="4" t="n"/>
      <c r="W973" s="4" t="n"/>
    </row>
    <row r="974" ht="15.75" customHeight="1" s="19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  <c r="K974" s="4" t="n"/>
      <c r="L974" s="4" t="n"/>
      <c r="M974" s="4" t="n"/>
      <c r="N974" s="4" t="n"/>
      <c r="O974" s="4" t="n"/>
      <c r="P974" s="4" t="n"/>
      <c r="Q974" s="4" t="n"/>
      <c r="R974" s="4" t="n"/>
      <c r="S974" s="4" t="n"/>
      <c r="T974" s="4" t="n"/>
      <c r="U974" s="4" t="n"/>
      <c r="V974" s="4" t="n"/>
      <c r="W974" s="4" t="n"/>
    </row>
    <row r="975" ht="15.75" customHeight="1" s="19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  <c r="K975" s="4" t="n"/>
      <c r="L975" s="4" t="n"/>
      <c r="M975" s="4" t="n"/>
      <c r="N975" s="4" t="n"/>
      <c r="O975" s="4" t="n"/>
      <c r="P975" s="4" t="n"/>
      <c r="Q975" s="4" t="n"/>
      <c r="R975" s="4" t="n"/>
      <c r="S975" s="4" t="n"/>
      <c r="T975" s="4" t="n"/>
      <c r="U975" s="4" t="n"/>
      <c r="V975" s="4" t="n"/>
      <c r="W975" s="4" t="n"/>
    </row>
    <row r="976" ht="15.75" customHeight="1" s="19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  <c r="K976" s="4" t="n"/>
      <c r="L976" s="4" t="n"/>
      <c r="M976" s="4" t="n"/>
      <c r="N976" s="4" t="n"/>
      <c r="O976" s="4" t="n"/>
      <c r="P976" s="4" t="n"/>
      <c r="Q976" s="4" t="n"/>
      <c r="R976" s="4" t="n"/>
      <c r="S976" s="4" t="n"/>
      <c r="T976" s="4" t="n"/>
      <c r="U976" s="4" t="n"/>
      <c r="V976" s="4" t="n"/>
      <c r="W976" s="4" t="n"/>
    </row>
    <row r="977" ht="15.75" customHeight="1" s="19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  <c r="K977" s="4" t="n"/>
      <c r="L977" s="4" t="n"/>
      <c r="M977" s="4" t="n"/>
      <c r="N977" s="4" t="n"/>
      <c r="O977" s="4" t="n"/>
      <c r="P977" s="4" t="n"/>
      <c r="Q977" s="4" t="n"/>
      <c r="R977" s="4" t="n"/>
      <c r="S977" s="4" t="n"/>
      <c r="T977" s="4" t="n"/>
      <c r="U977" s="4" t="n"/>
      <c r="V977" s="4" t="n"/>
      <c r="W977" s="4" t="n"/>
    </row>
    <row r="978" ht="15.75" customHeight="1" s="19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  <c r="K978" s="4" t="n"/>
      <c r="L978" s="4" t="n"/>
      <c r="M978" s="4" t="n"/>
      <c r="N978" s="4" t="n"/>
      <c r="O978" s="4" t="n"/>
      <c r="P978" s="4" t="n"/>
      <c r="Q978" s="4" t="n"/>
      <c r="R978" s="4" t="n"/>
      <c r="S978" s="4" t="n"/>
      <c r="T978" s="4" t="n"/>
      <c r="U978" s="4" t="n"/>
      <c r="V978" s="4" t="n"/>
      <c r="W978" s="4" t="n"/>
    </row>
    <row r="979" ht="15.75" customHeight="1" s="19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  <c r="K979" s="4" t="n"/>
      <c r="L979" s="4" t="n"/>
      <c r="M979" s="4" t="n"/>
      <c r="N979" s="4" t="n"/>
      <c r="O979" s="4" t="n"/>
      <c r="P979" s="4" t="n"/>
      <c r="Q979" s="4" t="n"/>
      <c r="R979" s="4" t="n"/>
      <c r="S979" s="4" t="n"/>
      <c r="T979" s="4" t="n"/>
      <c r="U979" s="4" t="n"/>
      <c r="V979" s="4" t="n"/>
      <c r="W979" s="4" t="n"/>
    </row>
    <row r="980" ht="15.75" customHeight="1" s="19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  <c r="K980" s="4" t="n"/>
      <c r="L980" s="4" t="n"/>
      <c r="M980" s="4" t="n"/>
      <c r="N980" s="4" t="n"/>
      <c r="O980" s="4" t="n"/>
      <c r="P980" s="4" t="n"/>
      <c r="Q980" s="4" t="n"/>
      <c r="R980" s="4" t="n"/>
      <c r="S980" s="4" t="n"/>
      <c r="T980" s="4" t="n"/>
      <c r="U980" s="4" t="n"/>
      <c r="V980" s="4" t="n"/>
      <c r="W980" s="4" t="n"/>
    </row>
    <row r="981" ht="15.75" customHeight="1" s="19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  <c r="K981" s="4" t="n"/>
      <c r="L981" s="4" t="n"/>
      <c r="M981" s="4" t="n"/>
      <c r="N981" s="4" t="n"/>
      <c r="O981" s="4" t="n"/>
      <c r="P981" s="4" t="n"/>
      <c r="Q981" s="4" t="n"/>
      <c r="R981" s="4" t="n"/>
      <c r="S981" s="4" t="n"/>
      <c r="T981" s="4" t="n"/>
      <c r="U981" s="4" t="n"/>
      <c r="V981" s="4" t="n"/>
      <c r="W981" s="4" t="n"/>
    </row>
    <row r="982" ht="15.75" customHeight="1" s="19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  <c r="K982" s="4" t="n"/>
      <c r="L982" s="4" t="n"/>
      <c r="M982" s="4" t="n"/>
      <c r="N982" s="4" t="n"/>
      <c r="O982" s="4" t="n"/>
      <c r="P982" s="4" t="n"/>
      <c r="Q982" s="4" t="n"/>
      <c r="R982" s="4" t="n"/>
      <c r="S982" s="4" t="n"/>
      <c r="T982" s="4" t="n"/>
      <c r="U982" s="4" t="n"/>
      <c r="V982" s="4" t="n"/>
      <c r="W982" s="4" t="n"/>
    </row>
    <row r="983" ht="15.75" customHeight="1" s="19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  <c r="K983" s="4" t="n"/>
      <c r="L983" s="4" t="n"/>
      <c r="M983" s="4" t="n"/>
      <c r="N983" s="4" t="n"/>
      <c r="O983" s="4" t="n"/>
      <c r="P983" s="4" t="n"/>
      <c r="Q983" s="4" t="n"/>
      <c r="R983" s="4" t="n"/>
      <c r="S983" s="4" t="n"/>
      <c r="T983" s="4" t="n"/>
      <c r="U983" s="4" t="n"/>
      <c r="V983" s="4" t="n"/>
      <c r="W983" s="4" t="n"/>
    </row>
    <row r="984" ht="15.75" customHeight="1" s="19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  <c r="K984" s="4" t="n"/>
      <c r="L984" s="4" t="n"/>
      <c r="M984" s="4" t="n"/>
      <c r="N984" s="4" t="n"/>
      <c r="O984" s="4" t="n"/>
      <c r="P984" s="4" t="n"/>
      <c r="Q984" s="4" t="n"/>
      <c r="R984" s="4" t="n"/>
      <c r="S984" s="4" t="n"/>
      <c r="T984" s="4" t="n"/>
      <c r="U984" s="4" t="n"/>
      <c r="V984" s="4" t="n"/>
      <c r="W984" s="4" t="n"/>
    </row>
    <row r="985" ht="15.75" customHeight="1" s="19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  <c r="K985" s="4" t="n"/>
      <c r="L985" s="4" t="n"/>
      <c r="M985" s="4" t="n"/>
      <c r="N985" s="4" t="n"/>
      <c r="O985" s="4" t="n"/>
      <c r="P985" s="4" t="n"/>
      <c r="Q985" s="4" t="n"/>
      <c r="R985" s="4" t="n"/>
      <c r="S985" s="4" t="n"/>
      <c r="T985" s="4" t="n"/>
      <c r="U985" s="4" t="n"/>
      <c r="V985" s="4" t="n"/>
      <c r="W985" s="4" t="n"/>
    </row>
    <row r="986" ht="15.75" customHeight="1" s="19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  <c r="K986" s="4" t="n"/>
      <c r="L986" s="4" t="n"/>
      <c r="M986" s="4" t="n"/>
      <c r="N986" s="4" t="n"/>
      <c r="O986" s="4" t="n"/>
      <c r="P986" s="4" t="n"/>
      <c r="Q986" s="4" t="n"/>
      <c r="R986" s="4" t="n"/>
      <c r="S986" s="4" t="n"/>
      <c r="T986" s="4" t="n"/>
      <c r="U986" s="4" t="n"/>
      <c r="V986" s="4" t="n"/>
      <c r="W986" s="4" t="n"/>
    </row>
    <row r="987" ht="15.75" customHeight="1" s="19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  <c r="K987" s="4" t="n"/>
      <c r="L987" s="4" t="n"/>
      <c r="M987" s="4" t="n"/>
      <c r="N987" s="4" t="n"/>
      <c r="O987" s="4" t="n"/>
      <c r="P987" s="4" t="n"/>
      <c r="Q987" s="4" t="n"/>
      <c r="R987" s="4" t="n"/>
      <c r="S987" s="4" t="n"/>
      <c r="T987" s="4" t="n"/>
      <c r="U987" s="4" t="n"/>
      <c r="V987" s="4" t="n"/>
      <c r="W987" s="4" t="n"/>
    </row>
    <row r="988" ht="15.75" customHeight="1" s="19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  <c r="K988" s="4" t="n"/>
      <c r="L988" s="4" t="n"/>
      <c r="M988" s="4" t="n"/>
      <c r="N988" s="4" t="n"/>
      <c r="O988" s="4" t="n"/>
      <c r="P988" s="4" t="n"/>
      <c r="Q988" s="4" t="n"/>
      <c r="R988" s="4" t="n"/>
      <c r="S988" s="4" t="n"/>
      <c r="T988" s="4" t="n"/>
      <c r="U988" s="4" t="n"/>
      <c r="V988" s="4" t="n"/>
      <c r="W988" s="4" t="n"/>
    </row>
    <row r="989" ht="15.75" customHeight="1" s="19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  <c r="K989" s="4" t="n"/>
      <c r="L989" s="4" t="n"/>
      <c r="M989" s="4" t="n"/>
      <c r="N989" s="4" t="n"/>
      <c r="O989" s="4" t="n"/>
      <c r="P989" s="4" t="n"/>
      <c r="Q989" s="4" t="n"/>
      <c r="R989" s="4" t="n"/>
      <c r="S989" s="4" t="n"/>
      <c r="T989" s="4" t="n"/>
      <c r="U989" s="4" t="n"/>
      <c r="V989" s="4" t="n"/>
      <c r="W989" s="4" t="n"/>
    </row>
    <row r="990" ht="15.75" customHeight="1" s="19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  <c r="K990" s="4" t="n"/>
      <c r="L990" s="4" t="n"/>
      <c r="M990" s="4" t="n"/>
      <c r="N990" s="4" t="n"/>
      <c r="O990" s="4" t="n"/>
      <c r="P990" s="4" t="n"/>
      <c r="Q990" s="4" t="n"/>
      <c r="R990" s="4" t="n"/>
      <c r="S990" s="4" t="n"/>
      <c r="T990" s="4" t="n"/>
      <c r="U990" s="4" t="n"/>
      <c r="V990" s="4" t="n"/>
      <c r="W990" s="4" t="n"/>
    </row>
    <row r="991" ht="15.75" customHeight="1" s="19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  <c r="K991" s="4" t="n"/>
      <c r="L991" s="4" t="n"/>
      <c r="M991" s="4" t="n"/>
      <c r="N991" s="4" t="n"/>
      <c r="O991" s="4" t="n"/>
      <c r="P991" s="4" t="n"/>
      <c r="Q991" s="4" t="n"/>
      <c r="R991" s="4" t="n"/>
      <c r="S991" s="4" t="n"/>
      <c r="T991" s="4" t="n"/>
      <c r="U991" s="4" t="n"/>
      <c r="V991" s="4" t="n"/>
      <c r="W991" s="4" t="n"/>
    </row>
    <row r="992" ht="15.75" customHeight="1" s="19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  <c r="K992" s="4" t="n"/>
      <c r="L992" s="4" t="n"/>
      <c r="M992" s="4" t="n"/>
      <c r="N992" s="4" t="n"/>
      <c r="O992" s="4" t="n"/>
      <c r="P992" s="4" t="n"/>
      <c r="Q992" s="4" t="n"/>
      <c r="R992" s="4" t="n"/>
      <c r="S992" s="4" t="n"/>
      <c r="T992" s="4" t="n"/>
      <c r="U992" s="4" t="n"/>
      <c r="V992" s="4" t="n"/>
      <c r="W992" s="4" t="n"/>
    </row>
    <row r="993" ht="15.75" customHeight="1" s="19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  <c r="K993" s="4" t="n"/>
      <c r="L993" s="4" t="n"/>
      <c r="M993" s="4" t="n"/>
      <c r="N993" s="4" t="n"/>
      <c r="O993" s="4" t="n"/>
      <c r="P993" s="4" t="n"/>
      <c r="Q993" s="4" t="n"/>
      <c r="R993" s="4" t="n"/>
      <c r="S993" s="4" t="n"/>
      <c r="T993" s="4" t="n"/>
      <c r="U993" s="4" t="n"/>
      <c r="V993" s="4" t="n"/>
      <c r="W993" s="4" t="n"/>
    </row>
    <row r="994" ht="15.75" customHeight="1" s="19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  <c r="K994" s="4" t="n"/>
      <c r="L994" s="4" t="n"/>
      <c r="M994" s="4" t="n"/>
      <c r="N994" s="4" t="n"/>
      <c r="O994" s="4" t="n"/>
      <c r="P994" s="4" t="n"/>
      <c r="Q994" s="4" t="n"/>
      <c r="R994" s="4" t="n"/>
      <c r="S994" s="4" t="n"/>
      <c r="T994" s="4" t="n"/>
      <c r="U994" s="4" t="n"/>
      <c r="V994" s="4" t="n"/>
      <c r="W994" s="4" t="n"/>
    </row>
    <row r="995" ht="15.75" customHeight="1" s="19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  <c r="K995" s="4" t="n"/>
      <c r="L995" s="4" t="n"/>
      <c r="M995" s="4" t="n"/>
      <c r="N995" s="4" t="n"/>
      <c r="O995" s="4" t="n"/>
      <c r="P995" s="4" t="n"/>
      <c r="Q995" s="4" t="n"/>
      <c r="R995" s="4" t="n"/>
      <c r="S995" s="4" t="n"/>
      <c r="T995" s="4" t="n"/>
      <c r="U995" s="4" t="n"/>
      <c r="V995" s="4" t="n"/>
      <c r="W995" s="4" t="n"/>
    </row>
    <row r="996" ht="15.75" customHeight="1" s="19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  <c r="K996" s="4" t="n"/>
      <c r="L996" s="4" t="n"/>
      <c r="M996" s="4" t="n"/>
      <c r="N996" s="4" t="n"/>
      <c r="O996" s="4" t="n"/>
      <c r="P996" s="4" t="n"/>
      <c r="Q996" s="4" t="n"/>
      <c r="R996" s="4" t="n"/>
      <c r="S996" s="4" t="n"/>
      <c r="T996" s="4" t="n"/>
      <c r="U996" s="4" t="n"/>
      <c r="V996" s="4" t="n"/>
      <c r="W996" s="4" t="n"/>
    </row>
    <row r="997" ht="15.75" customHeight="1" s="19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  <c r="K997" s="4" t="n"/>
      <c r="L997" s="4" t="n"/>
      <c r="M997" s="4" t="n"/>
      <c r="N997" s="4" t="n"/>
      <c r="O997" s="4" t="n"/>
      <c r="P997" s="4" t="n"/>
      <c r="Q997" s="4" t="n"/>
      <c r="R997" s="4" t="n"/>
      <c r="S997" s="4" t="n"/>
      <c r="T997" s="4" t="n"/>
      <c r="U997" s="4" t="n"/>
      <c r="V997" s="4" t="n"/>
      <c r="W997" s="4" t="n"/>
    </row>
    <row r="998" ht="15.75" customHeight="1" s="19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  <c r="K998" s="4" t="n"/>
      <c r="L998" s="4" t="n"/>
      <c r="M998" s="4" t="n"/>
      <c r="N998" s="4" t="n"/>
      <c r="O998" s="4" t="n"/>
      <c r="P998" s="4" t="n"/>
      <c r="Q998" s="4" t="n"/>
      <c r="R998" s="4" t="n"/>
      <c r="S998" s="4" t="n"/>
      <c r="T998" s="4" t="n"/>
      <c r="U998" s="4" t="n"/>
      <c r="V998" s="4" t="n"/>
      <c r="W998" s="4" t="n"/>
    </row>
    <row r="999" ht="15.75" customHeight="1" s="19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  <c r="K999" s="4" t="n"/>
      <c r="L999" s="4" t="n"/>
      <c r="M999" s="4" t="n"/>
      <c r="N999" s="4" t="n"/>
      <c r="O999" s="4" t="n"/>
      <c r="P999" s="4" t="n"/>
      <c r="Q999" s="4" t="n"/>
      <c r="R999" s="4" t="n"/>
      <c r="S999" s="4" t="n"/>
      <c r="T999" s="4" t="n"/>
      <c r="U999" s="4" t="n"/>
      <c r="V999" s="4" t="n"/>
      <c r="W999" s="4" t="n"/>
    </row>
    <row r="1000" ht="15.75" customHeight="1" s="19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  <c r="K1000" s="4" t="n"/>
      <c r="L1000" s="4" t="n"/>
      <c r="M1000" s="4" t="n"/>
      <c r="N1000" s="4" t="n"/>
      <c r="O1000" s="4" t="n"/>
      <c r="P1000" s="4" t="n"/>
      <c r="Q1000" s="4" t="n"/>
      <c r="R1000" s="4" t="n"/>
      <c r="S1000" s="4" t="n"/>
      <c r="T1000" s="4" t="n"/>
      <c r="U1000" s="4" t="n"/>
      <c r="V1000" s="4" t="n"/>
      <c r="W1000" s="4" t="n"/>
    </row>
  </sheetData>
  <mergeCells count="8">
    <mergeCell ref="A1:D1"/>
    <mergeCell ref="O1:R1"/>
    <mergeCell ref="F1:I1"/>
    <mergeCell ref="O8:R8"/>
    <mergeCell ref="V1:W1"/>
    <mergeCell ref="O21:R21"/>
    <mergeCell ref="O15:R15"/>
    <mergeCell ref="K1:M1"/>
  </mergeCells>
  <pageMargins left="0.75" right="0.75" top="1" bottom="1" header="0" footer="0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2025-09-16T12:53:30Z</dcterms:created>
  <dcterms:modified xmlns:dcterms="http://purl.org/dc/terms/" xmlns:xsi="http://www.w3.org/2001/XMLSchema-instance" xsi:type="dcterms:W3CDTF">2025-11-17T22:11:33Z</dcterms:modified>
</cp:coreProperties>
</file>