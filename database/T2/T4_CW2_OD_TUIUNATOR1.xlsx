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UqgjlLgJgrjaL+6+NzeGba7Uvp7Z4rTgxn0U4Gz4J0U="/>
    </ext>
  </extLst>
</workbook>
</file>

<file path=xl/sharedStrings.xml><?xml version="1.0" encoding="utf-8"?>
<sst xmlns="http://schemas.openxmlformats.org/spreadsheetml/2006/main" count="60" uniqueCount="33">
  <si>
    <t>Dynamic</t>
  </si>
  <si>
    <t>Odom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</si>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</sst>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5" t="s">
        <v>2</v>
      </c>
      <c r="L1" s="2"/>
      <c r="M1" s="3"/>
      <c r="N1" s="4"/>
      <c r="O1" s="5" t="s">
        <v>3</v>
      </c>
      <c r="P1" s="2"/>
      <c r="Q1" s="2"/>
      <c r="R1" s="3"/>
      <c r="S1" s="4"/>
      <c r="T1" s="4"/>
      <c r="U1" s="4"/>
      <c r="V1" s="5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0.946</v>
      </c>
      <c r="C3" s="11">
        <v>0.519</v>
      </c>
      <c r="D3" s="11">
        <v>-0.395</v>
      </c>
      <c r="E3" s="12"/>
      <c r="F3" s="10">
        <v>1.0</v>
      </c>
      <c r="G3" s="13">
        <v>0.575</v>
      </c>
      <c r="H3" s="13">
        <v>0.426</v>
      </c>
      <c r="I3" s="13">
        <v>-0.245</v>
      </c>
      <c r="J3" s="12"/>
      <c r="K3" s="10">
        <f t="shared" ref="K3:M3" si="1">B3-G3</f>
        <v>0.371</v>
      </c>
      <c r="L3" s="10">
        <f t="shared" si="1"/>
        <v>0.093</v>
      </c>
      <c r="M3" s="10">
        <f t="shared" si="1"/>
        <v>-0.15</v>
      </c>
      <c r="N3" s="4"/>
      <c r="O3" s="13" t="s">
        <v>9</v>
      </c>
      <c r="P3" s="14">
        <f t="shared" ref="P3:R3" si="2">AVERAGE(B3:B52)</f>
        <v>1.0588</v>
      </c>
      <c r="Q3" s="14">
        <f t="shared" si="2"/>
        <v>0.641</v>
      </c>
      <c r="R3" s="14">
        <f t="shared" si="2"/>
        <v>-0.46494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0.894</v>
      </c>
      <c r="C4" s="11">
        <v>0.595</v>
      </c>
      <c r="D4" s="11">
        <v>-0.393</v>
      </c>
      <c r="E4" s="12"/>
      <c r="F4" s="10">
        <v>2.0</v>
      </c>
      <c r="G4" s="13">
        <v>0.505</v>
      </c>
      <c r="H4" s="13">
        <v>0.36</v>
      </c>
      <c r="I4" s="13">
        <v>-0.233</v>
      </c>
      <c r="J4" s="12"/>
      <c r="K4" s="10">
        <f t="shared" ref="K4:M4" si="3">B4-G4</f>
        <v>0.389</v>
      </c>
      <c r="L4" s="10">
        <f t="shared" si="3"/>
        <v>0.235</v>
      </c>
      <c r="M4" s="10">
        <f t="shared" si="3"/>
        <v>-0.16</v>
      </c>
      <c r="N4" s="4"/>
      <c r="O4" s="13" t="s">
        <v>10</v>
      </c>
      <c r="P4" s="14">
        <f t="shared" ref="P4:R4" si="4">_xlfn.STDEV.S(B3:B52)</f>
        <v>0.1517536941</v>
      </c>
      <c r="Q4" s="14">
        <f t="shared" si="4"/>
        <v>0.07487840483</v>
      </c>
      <c r="R4" s="14">
        <f t="shared" si="4"/>
        <v>0.05571553478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0.79</v>
      </c>
      <c r="C5" s="11">
        <v>0.478</v>
      </c>
      <c r="D5" s="11">
        <v>-0.347</v>
      </c>
      <c r="E5" s="12"/>
      <c r="F5" s="10">
        <v>3.0</v>
      </c>
      <c r="G5" s="13">
        <v>0.556</v>
      </c>
      <c r="H5" s="13">
        <v>0.462</v>
      </c>
      <c r="I5" s="13">
        <v>-0.249</v>
      </c>
      <c r="J5" s="12"/>
      <c r="K5" s="10">
        <f t="shared" ref="K5:M5" si="5">B5-G5</f>
        <v>0.234</v>
      </c>
      <c r="L5" s="10">
        <f t="shared" si="5"/>
        <v>0.016</v>
      </c>
      <c r="M5" s="10">
        <f t="shared" si="5"/>
        <v>-0.098</v>
      </c>
      <c r="N5" s="4"/>
      <c r="O5" s="13" t="s">
        <v>11</v>
      </c>
      <c r="P5" s="14">
        <f t="shared" ref="P5:R5" si="6">P3+P4</f>
        <v>1.210553694</v>
      </c>
      <c r="Q5" s="14">
        <f t="shared" si="6"/>
        <v>0.7158784048</v>
      </c>
      <c r="R5" s="14">
        <f t="shared" si="6"/>
        <v>-0.4092244652</v>
      </c>
      <c r="S5" s="4"/>
      <c r="T5" s="4"/>
      <c r="U5" s="4"/>
      <c r="V5" s="4"/>
      <c r="W5" s="4"/>
      <c r="X5" s="4"/>
    </row>
    <row r="6">
      <c r="A6" s="10">
        <v>4.0</v>
      </c>
      <c r="B6" s="11">
        <v>1.15</v>
      </c>
      <c r="C6" s="11">
        <v>0.606</v>
      </c>
      <c r="D6" s="11">
        <v>-0.485</v>
      </c>
      <c r="E6" s="12"/>
      <c r="F6" s="10">
        <v>4.0</v>
      </c>
      <c r="G6" s="13">
        <v>0.459</v>
      </c>
      <c r="H6" s="13">
        <v>0.375</v>
      </c>
      <c r="I6" s="13">
        <v>-0.205</v>
      </c>
      <c r="J6" s="12"/>
      <c r="K6" s="10">
        <f t="shared" ref="K6:M6" si="7">B6-G6</f>
        <v>0.691</v>
      </c>
      <c r="L6" s="10">
        <f t="shared" si="7"/>
        <v>0.231</v>
      </c>
      <c r="M6" s="10">
        <f t="shared" si="7"/>
        <v>-0.28</v>
      </c>
      <c r="N6" s="4"/>
      <c r="O6" s="13" t="s">
        <v>12</v>
      </c>
      <c r="P6" s="14">
        <f t="shared" ref="P6:R6" si="8">P3-P4</f>
        <v>0.9070463059</v>
      </c>
      <c r="Q6" s="14">
        <f t="shared" si="8"/>
        <v>0.5661215952</v>
      </c>
      <c r="R6" s="14">
        <f t="shared" si="8"/>
        <v>-0.5206555348</v>
      </c>
      <c r="S6" s="4"/>
      <c r="T6" s="4"/>
      <c r="U6" s="4"/>
      <c r="V6" s="4"/>
      <c r="W6" s="4"/>
      <c r="X6" s="4"/>
    </row>
    <row r="7">
      <c r="A7" s="10">
        <v>5.0</v>
      </c>
      <c r="B7" s="11">
        <v>1.084</v>
      </c>
      <c r="C7" s="11">
        <v>0.646</v>
      </c>
      <c r="D7" s="11">
        <v>-0.536</v>
      </c>
      <c r="E7" s="12"/>
      <c r="F7" s="10">
        <v>5.0</v>
      </c>
      <c r="G7" s="13">
        <v>0.446</v>
      </c>
      <c r="H7" s="13">
        <v>0.35</v>
      </c>
      <c r="I7" s="13">
        <v>-0.245</v>
      </c>
      <c r="J7" s="12"/>
      <c r="K7" s="10">
        <f t="shared" ref="K7:M7" si="9">B7-G7</f>
        <v>0.638</v>
      </c>
      <c r="L7" s="10">
        <f t="shared" si="9"/>
        <v>0.296</v>
      </c>
      <c r="M7" s="10">
        <f t="shared" si="9"/>
        <v>-0.291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0.929</v>
      </c>
      <c r="C8" s="11">
        <v>0.683</v>
      </c>
      <c r="D8" s="11">
        <v>-0.428</v>
      </c>
      <c r="E8" s="12"/>
      <c r="F8" s="10">
        <v>6.0</v>
      </c>
      <c r="G8" s="13">
        <v>0.548</v>
      </c>
      <c r="H8" s="13">
        <v>0.34</v>
      </c>
      <c r="I8" s="13">
        <v>-0.224</v>
      </c>
      <c r="J8" s="12"/>
      <c r="K8" s="10">
        <f t="shared" ref="K8:M8" si="10">B8-G8</f>
        <v>0.381</v>
      </c>
      <c r="L8" s="10">
        <f t="shared" si="10"/>
        <v>0.343</v>
      </c>
      <c r="M8" s="10">
        <f t="shared" si="10"/>
        <v>-0.204</v>
      </c>
      <c r="N8" s="4"/>
      <c r="O8" s="5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1.162</v>
      </c>
      <c r="C9" s="11">
        <v>0.698</v>
      </c>
      <c r="D9" s="11">
        <v>-0.471</v>
      </c>
      <c r="E9" s="12"/>
      <c r="F9" s="10">
        <v>7.0</v>
      </c>
      <c r="G9" s="13">
        <v>0.508</v>
      </c>
      <c r="H9" s="13">
        <v>0.414</v>
      </c>
      <c r="I9" s="13">
        <v>-0.225</v>
      </c>
      <c r="J9" s="12"/>
      <c r="K9" s="10">
        <f t="shared" ref="K9:M9" si="11">B9-G9</f>
        <v>0.654</v>
      </c>
      <c r="L9" s="10">
        <f t="shared" si="11"/>
        <v>0.284</v>
      </c>
      <c r="M9" s="10">
        <f t="shared" si="11"/>
        <v>-0.246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1.281</v>
      </c>
      <c r="C10" s="11">
        <v>0.599</v>
      </c>
      <c r="D10" s="11">
        <v>-0.577</v>
      </c>
      <c r="E10" s="12"/>
      <c r="F10" s="10">
        <v>8.0</v>
      </c>
      <c r="G10" s="13">
        <v>0.433</v>
      </c>
      <c r="H10" s="13">
        <v>0.351</v>
      </c>
      <c r="I10" s="13">
        <v>-0.195</v>
      </c>
      <c r="J10" s="12"/>
      <c r="K10" s="10">
        <f t="shared" ref="K10:M10" si="12">B10-G10</f>
        <v>0.848</v>
      </c>
      <c r="L10" s="10">
        <f t="shared" si="12"/>
        <v>0.248</v>
      </c>
      <c r="M10" s="10">
        <f t="shared" si="12"/>
        <v>-0.382</v>
      </c>
      <c r="N10" s="4"/>
      <c r="O10" s="13" t="s">
        <v>9</v>
      </c>
      <c r="P10" s="14">
        <f t="shared" ref="P10:R10" si="13">AVERAGE(G3:G52)</f>
        <v>0.49446</v>
      </c>
      <c r="Q10" s="14">
        <f t="shared" si="13"/>
        <v>0.3927</v>
      </c>
      <c r="R10" s="14">
        <f t="shared" si="13"/>
        <v>-0.22984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1.013</v>
      </c>
      <c r="C11" s="11">
        <v>0.565</v>
      </c>
      <c r="D11" s="11">
        <v>-0.455</v>
      </c>
      <c r="E11" s="12"/>
      <c r="F11" s="10">
        <v>9.0</v>
      </c>
      <c r="G11" s="13">
        <v>0.498</v>
      </c>
      <c r="H11" s="13">
        <v>0.367</v>
      </c>
      <c r="I11" s="13">
        <v>-0.229</v>
      </c>
      <c r="J11" s="12"/>
      <c r="K11" s="10">
        <f t="shared" ref="K11:M11" si="14">B11-G11</f>
        <v>0.515</v>
      </c>
      <c r="L11" s="10">
        <f t="shared" si="14"/>
        <v>0.198</v>
      </c>
      <c r="M11" s="10">
        <f t="shared" si="14"/>
        <v>-0.226</v>
      </c>
      <c r="N11" s="4"/>
      <c r="O11" s="13" t="s">
        <v>10</v>
      </c>
      <c r="P11" s="14">
        <f t="shared" ref="P11:R11" si="15">_xlfn.STDEV.S(G3:G52)</f>
        <v>0.05163419607</v>
      </c>
      <c r="Q11" s="14">
        <f t="shared" si="15"/>
        <v>0.04068908995</v>
      </c>
      <c r="R11" s="14">
        <f t="shared" si="15"/>
        <v>0.01742899297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1.167</v>
      </c>
      <c r="C12" s="11">
        <v>0.777</v>
      </c>
      <c r="D12" s="11">
        <v>-0.446</v>
      </c>
      <c r="E12" s="12"/>
      <c r="F12" s="10">
        <v>10.0</v>
      </c>
      <c r="G12" s="13">
        <v>0.486</v>
      </c>
      <c r="H12" s="13">
        <v>0.403</v>
      </c>
      <c r="I12" s="13">
        <v>-0.23</v>
      </c>
      <c r="J12" s="12"/>
      <c r="K12" s="10">
        <f t="shared" ref="K12:M12" si="16">B12-G12</f>
        <v>0.681</v>
      </c>
      <c r="L12" s="10">
        <f t="shared" si="16"/>
        <v>0.374</v>
      </c>
      <c r="M12" s="10">
        <f t="shared" si="16"/>
        <v>-0.216</v>
      </c>
      <c r="N12" s="4"/>
      <c r="O12" s="13" t="s">
        <v>11</v>
      </c>
      <c r="P12" s="14">
        <f t="shared" ref="P12:R12" si="17">P10+P11</f>
        <v>0.5460941961</v>
      </c>
      <c r="Q12" s="14">
        <f t="shared" si="17"/>
        <v>0.4333890899</v>
      </c>
      <c r="R12" s="14">
        <f t="shared" si="17"/>
        <v>-0.212411007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1.014</v>
      </c>
      <c r="C13" s="11">
        <v>0.628</v>
      </c>
      <c r="D13" s="11">
        <v>-0.424</v>
      </c>
      <c r="E13" s="12"/>
      <c r="F13" s="10">
        <v>11.0</v>
      </c>
      <c r="G13" s="13">
        <v>0.465</v>
      </c>
      <c r="H13" s="13">
        <v>0.353</v>
      </c>
      <c r="I13" s="13">
        <v>-0.214</v>
      </c>
      <c r="J13" s="12"/>
      <c r="K13" s="10">
        <f t="shared" ref="K13:M13" si="18">B13-G13</f>
        <v>0.549</v>
      </c>
      <c r="L13" s="10">
        <f t="shared" si="18"/>
        <v>0.275</v>
      </c>
      <c r="M13" s="10">
        <f t="shared" si="18"/>
        <v>-0.21</v>
      </c>
      <c r="N13" s="4"/>
      <c r="O13" s="13" t="s">
        <v>12</v>
      </c>
      <c r="P13" s="14">
        <f t="shared" ref="P13:R13" si="19">P10-P11</f>
        <v>0.4428258039</v>
      </c>
      <c r="Q13" s="14">
        <f t="shared" si="19"/>
        <v>0.3520109101</v>
      </c>
      <c r="R13" s="14">
        <f t="shared" si="19"/>
        <v>-0.247268993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1.152</v>
      </c>
      <c r="C14" s="11">
        <v>0.676</v>
      </c>
      <c r="D14" s="11">
        <v>-0.522</v>
      </c>
      <c r="E14" s="12"/>
      <c r="F14" s="10">
        <v>12.0</v>
      </c>
      <c r="G14" s="13">
        <v>0.509</v>
      </c>
      <c r="H14" s="13">
        <v>0.409</v>
      </c>
      <c r="I14" s="13">
        <v>-0.228</v>
      </c>
      <c r="J14" s="12"/>
      <c r="K14" s="10">
        <f t="shared" ref="K14:M14" si="20">B14-G14</f>
        <v>0.643</v>
      </c>
      <c r="L14" s="10">
        <f t="shared" si="20"/>
        <v>0.267</v>
      </c>
      <c r="M14" s="10">
        <f t="shared" si="20"/>
        <v>-0.294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1.005</v>
      </c>
      <c r="C15" s="11">
        <v>0.629</v>
      </c>
      <c r="D15" s="11">
        <v>-0.484</v>
      </c>
      <c r="E15" s="12"/>
      <c r="F15" s="10">
        <v>13.0</v>
      </c>
      <c r="G15" s="13">
        <v>0.57</v>
      </c>
      <c r="H15" s="13">
        <v>0.494</v>
      </c>
      <c r="I15" s="13">
        <v>-0.258</v>
      </c>
      <c r="J15" s="12"/>
      <c r="K15" s="10">
        <f t="shared" ref="K15:M15" si="21">B15-G15</f>
        <v>0.435</v>
      </c>
      <c r="L15" s="10">
        <f t="shared" si="21"/>
        <v>0.135</v>
      </c>
      <c r="M15" s="10">
        <f t="shared" si="21"/>
        <v>-0.226</v>
      </c>
      <c r="N15" s="4"/>
      <c r="O15" s="5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0.867</v>
      </c>
      <c r="C16" s="11">
        <v>0.743</v>
      </c>
      <c r="D16" s="11">
        <v>-0.403</v>
      </c>
      <c r="E16" s="12"/>
      <c r="F16" s="10">
        <v>14.0</v>
      </c>
      <c r="G16" s="13">
        <v>0.558</v>
      </c>
      <c r="H16" s="13">
        <v>0.409</v>
      </c>
      <c r="I16" s="13">
        <v>-0.256</v>
      </c>
      <c r="J16" s="12"/>
      <c r="K16" s="10">
        <f t="shared" ref="K16:M16" si="22">B16-G16</f>
        <v>0.309</v>
      </c>
      <c r="L16" s="10">
        <f t="shared" si="22"/>
        <v>0.334</v>
      </c>
      <c r="M16" s="10">
        <f t="shared" si="22"/>
        <v>-0.147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1.339</v>
      </c>
      <c r="C17" s="11">
        <v>0.665</v>
      </c>
      <c r="D17" s="11">
        <v>-0.566</v>
      </c>
      <c r="E17" s="12"/>
      <c r="F17" s="10">
        <v>15.0</v>
      </c>
      <c r="G17" s="13">
        <v>0.514</v>
      </c>
      <c r="H17" s="13">
        <v>0.41</v>
      </c>
      <c r="I17" s="13">
        <v>-0.245</v>
      </c>
      <c r="J17" s="12"/>
      <c r="K17" s="10">
        <f t="shared" ref="K17:M17" si="23">B17-G17</f>
        <v>0.825</v>
      </c>
      <c r="L17" s="10">
        <f t="shared" si="23"/>
        <v>0.255</v>
      </c>
      <c r="M17" s="10">
        <f t="shared" si="23"/>
        <v>-0.321</v>
      </c>
      <c r="N17" s="4"/>
      <c r="O17" s="13" t="s">
        <v>9</v>
      </c>
      <c r="P17" s="14">
        <f t="shared" ref="P17:R17" si="24">AVERAGE(K3:K52)</f>
        <v>0.56434</v>
      </c>
      <c r="Q17" s="14">
        <f t="shared" si="24"/>
        <v>0.2483</v>
      </c>
      <c r="R17" s="14">
        <f t="shared" si="24"/>
        <v>-0.2351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0.893</v>
      </c>
      <c r="C18" s="11">
        <v>0.592</v>
      </c>
      <c r="D18" s="11">
        <v>-0.423</v>
      </c>
      <c r="E18" s="12"/>
      <c r="F18" s="10">
        <v>16.0</v>
      </c>
      <c r="G18" s="13">
        <v>0.56</v>
      </c>
      <c r="H18" s="13">
        <v>0.412</v>
      </c>
      <c r="I18" s="13">
        <v>-0.232</v>
      </c>
      <c r="J18" s="12"/>
      <c r="K18" s="10">
        <f t="shared" ref="K18:M18" si="25">B18-G18</f>
        <v>0.333</v>
      </c>
      <c r="L18" s="10">
        <f t="shared" si="25"/>
        <v>0.18</v>
      </c>
      <c r="M18" s="10">
        <f t="shared" si="25"/>
        <v>-0.191</v>
      </c>
      <c r="N18" s="4"/>
      <c r="O18" s="13" t="s">
        <v>10</v>
      </c>
      <c r="P18" s="14">
        <f t="shared" ref="P18:R18" si="26">_xlfn.STDEV.S(K3:K52)</f>
        <v>0.1683245905</v>
      </c>
      <c r="Q18" s="14">
        <f t="shared" si="26"/>
        <v>0.09179730333</v>
      </c>
      <c r="R18" s="14">
        <f t="shared" si="26"/>
        <v>0.06082301189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1.231</v>
      </c>
      <c r="C19" s="11">
        <v>0.686</v>
      </c>
      <c r="D19" s="11">
        <v>-0.513</v>
      </c>
      <c r="E19" s="12"/>
      <c r="F19" s="10">
        <v>17.0</v>
      </c>
      <c r="G19" s="13">
        <v>0.444</v>
      </c>
      <c r="H19" s="13">
        <v>0.341</v>
      </c>
      <c r="I19" s="13">
        <v>-0.229</v>
      </c>
      <c r="J19" s="12"/>
      <c r="K19" s="10">
        <f t="shared" ref="K19:M19" si="27">B19-G19</f>
        <v>0.787</v>
      </c>
      <c r="L19" s="10">
        <f t="shared" si="27"/>
        <v>0.345</v>
      </c>
      <c r="M19" s="10">
        <f t="shared" si="27"/>
        <v>-0.284</v>
      </c>
      <c r="N19" s="4"/>
      <c r="O19" s="13" t="s">
        <v>18</v>
      </c>
      <c r="P19" s="17">
        <f t="shared" ref="P19:R19" si="28">ABS(P17/(P18/SQRT($T$12)))</f>
        <v>23.70709115</v>
      </c>
      <c r="Q19" s="17">
        <f t="shared" si="28"/>
        <v>19.12633677</v>
      </c>
      <c r="R19" s="17">
        <f t="shared" si="28"/>
        <v>27.33189283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1.217</v>
      </c>
      <c r="C20" s="11">
        <v>0.633</v>
      </c>
      <c r="D20" s="11">
        <v>-0.531</v>
      </c>
      <c r="E20" s="12"/>
      <c r="F20" s="10">
        <v>18.0</v>
      </c>
      <c r="G20" s="13">
        <v>0.522</v>
      </c>
      <c r="H20" s="13">
        <v>0.39</v>
      </c>
      <c r="I20" s="13">
        <v>-0.235</v>
      </c>
      <c r="J20" s="12"/>
      <c r="K20" s="10">
        <f t="shared" ref="K20:M20" si="29">B20-G20</f>
        <v>0.695</v>
      </c>
      <c r="L20" s="10">
        <f t="shared" si="29"/>
        <v>0.243</v>
      </c>
      <c r="M20" s="10">
        <f t="shared" si="29"/>
        <v>-0.296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0.801</v>
      </c>
      <c r="C21" s="11">
        <v>0.62</v>
      </c>
      <c r="D21" s="11">
        <v>-0.395</v>
      </c>
      <c r="E21" s="12"/>
      <c r="F21" s="10">
        <v>19.0</v>
      </c>
      <c r="G21" s="13">
        <v>0.425</v>
      </c>
      <c r="H21" s="13">
        <v>0.352</v>
      </c>
      <c r="I21" s="13">
        <v>-0.218</v>
      </c>
      <c r="J21" s="12"/>
      <c r="K21" s="10">
        <f t="shared" ref="K21:M21" si="30">B21-G21</f>
        <v>0.376</v>
      </c>
      <c r="L21" s="10">
        <f t="shared" si="30"/>
        <v>0.268</v>
      </c>
      <c r="M21" s="10">
        <f t="shared" si="30"/>
        <v>-0.177</v>
      </c>
      <c r="N21" s="4"/>
      <c r="O21" s="5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0.959</v>
      </c>
      <c r="C22" s="11">
        <v>0.64</v>
      </c>
      <c r="D22" s="11">
        <v>-0.394</v>
      </c>
      <c r="E22" s="12"/>
      <c r="F22" s="10">
        <v>20.0</v>
      </c>
      <c r="G22" s="13">
        <v>0.501</v>
      </c>
      <c r="H22" s="13">
        <v>0.351</v>
      </c>
      <c r="I22" s="13">
        <v>-0.225</v>
      </c>
      <c r="J22" s="12"/>
      <c r="K22" s="10">
        <f t="shared" ref="K22:M22" si="31">B22-G22</f>
        <v>0.458</v>
      </c>
      <c r="L22" s="10">
        <f t="shared" si="31"/>
        <v>0.289</v>
      </c>
      <c r="M22" s="10">
        <f t="shared" si="31"/>
        <v>-0.169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1.058</v>
      </c>
      <c r="C23" s="11">
        <v>0.711</v>
      </c>
      <c r="D23" s="11">
        <v>-0.487</v>
      </c>
      <c r="E23" s="12"/>
      <c r="F23" s="10">
        <v>21.0</v>
      </c>
      <c r="G23" s="13">
        <v>0.552</v>
      </c>
      <c r="H23" s="13">
        <v>0.415</v>
      </c>
      <c r="I23" s="13">
        <v>-0.26</v>
      </c>
      <c r="J23" s="12"/>
      <c r="K23" s="10">
        <f t="shared" ref="K23:M23" si="32">B23-G23</f>
        <v>0.506</v>
      </c>
      <c r="L23" s="10">
        <f t="shared" si="32"/>
        <v>0.296</v>
      </c>
      <c r="M23" s="10">
        <f t="shared" si="32"/>
        <v>-0.227</v>
      </c>
      <c r="N23" s="4"/>
      <c r="O23" s="16" t="s">
        <v>20</v>
      </c>
      <c r="P23" s="14">
        <f t="shared" ref="P23:R23" si="33">(($T$18-1)*(P4^2) + ($U$18-1)*(P11^2))/($T$18+$U$18-2)</f>
        <v>0.01284763694</v>
      </c>
      <c r="Q23" s="14">
        <f t="shared" si="33"/>
        <v>0.003631188776</v>
      </c>
      <c r="R23" s="14">
        <f t="shared" si="33"/>
        <v>0.001703995306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0.9</v>
      </c>
      <c r="C24" s="11">
        <v>0.625</v>
      </c>
      <c r="D24" s="11">
        <v>-0.424</v>
      </c>
      <c r="E24" s="12"/>
      <c r="F24" s="10">
        <v>22.0</v>
      </c>
      <c r="G24" s="13">
        <v>0.541</v>
      </c>
      <c r="H24" s="13">
        <v>0.386</v>
      </c>
      <c r="I24" s="13">
        <v>-0.238</v>
      </c>
      <c r="J24" s="12"/>
      <c r="K24" s="10">
        <f t="shared" ref="K24:M24" si="34">B24-G24</f>
        <v>0.359</v>
      </c>
      <c r="L24" s="10">
        <f t="shared" si="34"/>
        <v>0.239</v>
      </c>
      <c r="M24" s="10">
        <f t="shared" si="34"/>
        <v>-0.186</v>
      </c>
      <c r="N24" s="4"/>
      <c r="O24" s="16" t="s">
        <v>21</v>
      </c>
      <c r="P24" s="14">
        <f t="shared" ref="P24:R24" si="35">P4^2</f>
        <v>0.02302918367</v>
      </c>
      <c r="Q24" s="14">
        <f t="shared" si="35"/>
        <v>0.00560677551</v>
      </c>
      <c r="R24" s="14">
        <f t="shared" si="35"/>
        <v>0.003104220816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1.302</v>
      </c>
      <c r="C25" s="11">
        <v>0.654</v>
      </c>
      <c r="D25" s="11">
        <v>-0.555</v>
      </c>
      <c r="E25" s="12"/>
      <c r="F25" s="10">
        <v>23.0</v>
      </c>
      <c r="G25" s="13">
        <v>0.412</v>
      </c>
      <c r="H25" s="13">
        <v>0.38</v>
      </c>
      <c r="I25" s="13">
        <v>-0.219</v>
      </c>
      <c r="J25" s="12"/>
      <c r="K25" s="10">
        <f t="shared" ref="K25:M25" si="36">B25-G25</f>
        <v>0.89</v>
      </c>
      <c r="L25" s="10">
        <f t="shared" si="36"/>
        <v>0.274</v>
      </c>
      <c r="M25" s="10">
        <f t="shared" si="36"/>
        <v>-0.336</v>
      </c>
      <c r="N25" s="4"/>
      <c r="O25" s="16" t="s">
        <v>23</v>
      </c>
      <c r="P25" s="14">
        <f t="shared" ref="P25:R25" si="37">P11^2</f>
        <v>0.002666090204</v>
      </c>
      <c r="Q25" s="14">
        <f t="shared" si="37"/>
        <v>0.001655602041</v>
      </c>
      <c r="R25" s="14">
        <f t="shared" si="37"/>
        <v>0.0003037697959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1.054</v>
      </c>
      <c r="C26" s="11">
        <v>0.587</v>
      </c>
      <c r="D26" s="11">
        <v>-0.447</v>
      </c>
      <c r="E26" s="12"/>
      <c r="F26" s="10">
        <v>24.0</v>
      </c>
      <c r="G26" s="13">
        <v>0.581</v>
      </c>
      <c r="H26" s="13">
        <v>0.425</v>
      </c>
      <c r="I26" s="13">
        <v>-0.262</v>
      </c>
      <c r="J26" s="12"/>
      <c r="K26" s="10">
        <f t="shared" ref="K26:M26" si="38">B26-G26</f>
        <v>0.473</v>
      </c>
      <c r="L26" s="10">
        <f t="shared" si="38"/>
        <v>0.162</v>
      </c>
      <c r="M26" s="10">
        <f t="shared" si="38"/>
        <v>-0.185</v>
      </c>
      <c r="N26" s="4"/>
      <c r="O26" s="16" t="s">
        <v>24</v>
      </c>
      <c r="P26" s="14">
        <f t="shared" ref="P26:R26" si="39">SQRT( ((($T$18-1)*P24) + (($U$18-1)*P25))/($T$18+$U$18-2))</f>
        <v>0.113347417</v>
      </c>
      <c r="Q26" s="14">
        <f t="shared" si="39"/>
        <v>0.06025934596</v>
      </c>
      <c r="R26" s="14">
        <f t="shared" si="39"/>
        <v>0.04127947803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0.957</v>
      </c>
      <c r="C27" s="11">
        <v>0.548</v>
      </c>
      <c r="D27" s="11">
        <v>-0.442</v>
      </c>
      <c r="E27" s="12"/>
      <c r="F27" s="10">
        <v>25.0</v>
      </c>
      <c r="G27" s="13">
        <v>0.542</v>
      </c>
      <c r="H27" s="13">
        <v>0.471</v>
      </c>
      <c r="I27" s="13">
        <v>-0.248</v>
      </c>
      <c r="J27" s="12"/>
      <c r="K27" s="10">
        <f t="shared" ref="K27:M27" si="40">B27-G27</f>
        <v>0.415</v>
      </c>
      <c r="L27" s="10">
        <f t="shared" si="40"/>
        <v>0.077</v>
      </c>
      <c r="M27" s="10">
        <f t="shared" si="40"/>
        <v>-0.194</v>
      </c>
      <c r="N27" s="4"/>
      <c r="O27" s="16" t="s">
        <v>26</v>
      </c>
      <c r="P27" s="14">
        <f t="shared" ref="P27:R27" si="41">P26*SQRT(1/50 + 1/50)</f>
        <v>0.0226694834</v>
      </c>
      <c r="Q27" s="14">
        <f t="shared" si="41"/>
        <v>0.01205186919</v>
      </c>
      <c r="R27" s="14">
        <f t="shared" si="41"/>
        <v>0.008255895605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1.103</v>
      </c>
      <c r="C28" s="11">
        <v>0.536</v>
      </c>
      <c r="D28" s="11">
        <v>-0.477</v>
      </c>
      <c r="E28" s="12"/>
      <c r="F28" s="10">
        <v>26.0</v>
      </c>
      <c r="G28" s="13">
        <v>0.459</v>
      </c>
      <c r="H28" s="13">
        <v>0.376</v>
      </c>
      <c r="I28" s="13">
        <v>-0.25</v>
      </c>
      <c r="J28" s="12"/>
      <c r="K28" s="10">
        <f t="shared" ref="K28:M28" si="42">B28-G28</f>
        <v>0.644</v>
      </c>
      <c r="L28" s="10">
        <f t="shared" si="42"/>
        <v>0.16</v>
      </c>
      <c r="M28" s="10">
        <f t="shared" si="42"/>
        <v>-0.227</v>
      </c>
      <c r="N28" s="4"/>
      <c r="O28" s="16" t="s">
        <v>18</v>
      </c>
      <c r="P28" s="17">
        <f t="shared" ref="P28:R28" si="43">ABS((P3-P10)/P27)</f>
        <v>24.89425939</v>
      </c>
      <c r="Q28" s="17">
        <f t="shared" si="43"/>
        <v>20.60261326</v>
      </c>
      <c r="R28" s="17">
        <f t="shared" si="43"/>
        <v>28.47661977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1.053</v>
      </c>
      <c r="C29" s="11">
        <v>0.625</v>
      </c>
      <c r="D29" s="11">
        <v>-0.438</v>
      </c>
      <c r="E29" s="12"/>
      <c r="F29" s="10">
        <v>27.0</v>
      </c>
      <c r="G29" s="13">
        <v>0.596</v>
      </c>
      <c r="H29" s="13">
        <v>0.483</v>
      </c>
      <c r="I29" s="13">
        <v>-0.261</v>
      </c>
      <c r="J29" s="12"/>
      <c r="K29" s="10">
        <f t="shared" ref="K29:M29" si="44">B29-G29</f>
        <v>0.457</v>
      </c>
      <c r="L29" s="10">
        <f t="shared" si="44"/>
        <v>0.142</v>
      </c>
      <c r="M29" s="10">
        <f t="shared" si="44"/>
        <v>-0.177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1.067</v>
      </c>
      <c r="C30" s="11">
        <v>0.677</v>
      </c>
      <c r="D30" s="11">
        <v>-0.51</v>
      </c>
      <c r="E30" s="12"/>
      <c r="F30" s="10">
        <v>28.0</v>
      </c>
      <c r="G30" s="13">
        <v>0.471</v>
      </c>
      <c r="H30" s="13">
        <v>0.37</v>
      </c>
      <c r="I30" s="13">
        <v>-0.212</v>
      </c>
      <c r="J30" s="12"/>
      <c r="K30" s="10">
        <f t="shared" ref="K30:M30" si="46">B30-G30</f>
        <v>0.596</v>
      </c>
      <c r="L30" s="10">
        <f t="shared" si="46"/>
        <v>0.307</v>
      </c>
      <c r="M30" s="10">
        <f t="shared" si="46"/>
        <v>-0.298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1.011</v>
      </c>
      <c r="C31" s="11">
        <v>0.66</v>
      </c>
      <c r="D31" s="11">
        <v>-0.484</v>
      </c>
      <c r="E31" s="12"/>
      <c r="F31" s="10">
        <v>29.0</v>
      </c>
      <c r="G31" s="13">
        <v>0.479</v>
      </c>
      <c r="H31" s="13">
        <v>0.397</v>
      </c>
      <c r="I31" s="13">
        <v>-0.219</v>
      </c>
      <c r="J31" s="12"/>
      <c r="K31" s="10">
        <f t="shared" ref="K31:M31" si="47">B31-G31</f>
        <v>0.532</v>
      </c>
      <c r="L31" s="10">
        <f t="shared" si="47"/>
        <v>0.263</v>
      </c>
      <c r="M31" s="10">
        <f t="shared" si="47"/>
        <v>-0.265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1.233</v>
      </c>
      <c r="C32" s="11">
        <v>0.7</v>
      </c>
      <c r="D32" s="11">
        <v>-0.534</v>
      </c>
      <c r="E32" s="12"/>
      <c r="F32" s="10">
        <v>30.0</v>
      </c>
      <c r="G32" s="13">
        <v>0.43</v>
      </c>
      <c r="H32" s="13">
        <v>0.341</v>
      </c>
      <c r="I32" s="13">
        <v>-0.213</v>
      </c>
      <c r="J32" s="12"/>
      <c r="K32" s="10">
        <f t="shared" ref="K32:M32" si="49">B32-G32</f>
        <v>0.803</v>
      </c>
      <c r="L32" s="10">
        <f t="shared" si="49"/>
        <v>0.359</v>
      </c>
      <c r="M32" s="10">
        <f t="shared" si="49"/>
        <v>-0.321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1.163</v>
      </c>
      <c r="C33" s="11">
        <v>0.609</v>
      </c>
      <c r="D33" s="11">
        <v>-0.495</v>
      </c>
      <c r="E33" s="12"/>
      <c r="F33" s="10">
        <v>31.0</v>
      </c>
      <c r="G33" s="13">
        <v>0.494</v>
      </c>
      <c r="H33" s="13">
        <v>0.414</v>
      </c>
      <c r="I33" s="13">
        <v>-0.24</v>
      </c>
      <c r="J33" s="12"/>
      <c r="K33" s="10">
        <f t="shared" ref="K33:M33" si="50">B33-G33</f>
        <v>0.669</v>
      </c>
      <c r="L33" s="10">
        <f t="shared" si="50"/>
        <v>0.195</v>
      </c>
      <c r="M33" s="10">
        <f t="shared" si="50"/>
        <v>-0.255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1.036</v>
      </c>
      <c r="C34" s="11">
        <v>0.665</v>
      </c>
      <c r="D34" s="11">
        <v>-0.443</v>
      </c>
      <c r="E34" s="12"/>
      <c r="F34" s="10">
        <v>32.0</v>
      </c>
      <c r="G34" s="13">
        <v>0.557</v>
      </c>
      <c r="H34" s="13">
        <v>0.452</v>
      </c>
      <c r="I34" s="13">
        <v>-0.247</v>
      </c>
      <c r="J34" s="12"/>
      <c r="K34" s="10">
        <f t="shared" ref="K34:M34" si="51">B34-G34</f>
        <v>0.479</v>
      </c>
      <c r="L34" s="10">
        <f t="shared" si="51"/>
        <v>0.213</v>
      </c>
      <c r="M34" s="10">
        <f t="shared" si="51"/>
        <v>-0.196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1.206</v>
      </c>
      <c r="C35" s="11">
        <v>0.634</v>
      </c>
      <c r="D35" s="11">
        <v>-0.492</v>
      </c>
      <c r="E35" s="12"/>
      <c r="F35" s="10">
        <v>33.0</v>
      </c>
      <c r="G35" s="13">
        <v>0.464</v>
      </c>
      <c r="H35" s="13">
        <v>0.393</v>
      </c>
      <c r="I35" s="13">
        <v>-0.239</v>
      </c>
      <c r="J35" s="12"/>
      <c r="K35" s="10">
        <f t="shared" ref="K35:M35" si="52">B35-G35</f>
        <v>0.742</v>
      </c>
      <c r="L35" s="10">
        <f t="shared" si="52"/>
        <v>0.241</v>
      </c>
      <c r="M35" s="10">
        <f t="shared" si="52"/>
        <v>-0.253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1.132</v>
      </c>
      <c r="C36" s="11">
        <v>0.687</v>
      </c>
      <c r="D36" s="11">
        <v>-0.451</v>
      </c>
      <c r="E36" s="12"/>
      <c r="F36" s="10">
        <v>34.0</v>
      </c>
      <c r="G36" s="13">
        <v>0.523</v>
      </c>
      <c r="H36" s="13">
        <v>0.395</v>
      </c>
      <c r="I36" s="13">
        <v>-0.223</v>
      </c>
      <c r="J36" s="12"/>
      <c r="K36" s="10">
        <f t="shared" ref="K36:M36" si="53">B36-G36</f>
        <v>0.609</v>
      </c>
      <c r="L36" s="10">
        <f t="shared" si="53"/>
        <v>0.292</v>
      </c>
      <c r="M36" s="10">
        <f t="shared" si="53"/>
        <v>-0.228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1.202</v>
      </c>
      <c r="C37" s="11">
        <v>0.748</v>
      </c>
      <c r="D37" s="11">
        <v>-0.501</v>
      </c>
      <c r="E37" s="12"/>
      <c r="F37" s="10">
        <v>35.0</v>
      </c>
      <c r="G37" s="13">
        <v>0.488</v>
      </c>
      <c r="H37" s="13">
        <v>0.381</v>
      </c>
      <c r="I37" s="13">
        <v>-0.231</v>
      </c>
      <c r="J37" s="12"/>
      <c r="K37" s="10">
        <f t="shared" ref="K37:M37" si="54">B37-G37</f>
        <v>0.714</v>
      </c>
      <c r="L37" s="10">
        <f t="shared" si="54"/>
        <v>0.367</v>
      </c>
      <c r="M37" s="10">
        <f t="shared" si="54"/>
        <v>-0.27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0.785</v>
      </c>
      <c r="C38" s="11">
        <v>0.504</v>
      </c>
      <c r="D38" s="11">
        <v>-0.343</v>
      </c>
      <c r="E38" s="12"/>
      <c r="F38" s="10">
        <v>36.0</v>
      </c>
      <c r="G38" s="13">
        <v>0.423</v>
      </c>
      <c r="H38" s="13">
        <v>0.424</v>
      </c>
      <c r="I38" s="13">
        <v>-0.222</v>
      </c>
      <c r="J38" s="12"/>
      <c r="K38" s="10">
        <f t="shared" ref="K38:M38" si="55">B38-G38</f>
        <v>0.362</v>
      </c>
      <c r="L38" s="10">
        <f t="shared" si="55"/>
        <v>0.08</v>
      </c>
      <c r="M38" s="10">
        <f t="shared" si="55"/>
        <v>-0.121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1.025</v>
      </c>
      <c r="C39" s="11">
        <v>0.607</v>
      </c>
      <c r="D39" s="11">
        <v>-0.417</v>
      </c>
      <c r="E39" s="12"/>
      <c r="F39" s="10">
        <v>37.0</v>
      </c>
      <c r="G39" s="13">
        <v>0.526</v>
      </c>
      <c r="H39" s="13">
        <v>0.434</v>
      </c>
      <c r="I39" s="13">
        <v>-0.247</v>
      </c>
      <c r="J39" s="12"/>
      <c r="K39" s="10">
        <f t="shared" ref="K39:M39" si="56">B39-G39</f>
        <v>0.499</v>
      </c>
      <c r="L39" s="10">
        <f t="shared" si="56"/>
        <v>0.173</v>
      </c>
      <c r="M39" s="10">
        <f t="shared" si="56"/>
        <v>-0.17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1.021</v>
      </c>
      <c r="C40" s="11">
        <v>0.671</v>
      </c>
      <c r="D40" s="11">
        <v>-0.455</v>
      </c>
      <c r="E40" s="12"/>
      <c r="F40" s="10">
        <v>38.0</v>
      </c>
      <c r="G40" s="13">
        <v>0.476</v>
      </c>
      <c r="H40" s="13">
        <v>0.381</v>
      </c>
      <c r="I40" s="13">
        <v>-0.229</v>
      </c>
      <c r="J40" s="12"/>
      <c r="K40" s="10">
        <f t="shared" ref="K40:M40" si="57">B40-G40</f>
        <v>0.545</v>
      </c>
      <c r="L40" s="10">
        <f t="shared" si="57"/>
        <v>0.29</v>
      </c>
      <c r="M40" s="10">
        <f t="shared" si="57"/>
        <v>-0.226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1.039</v>
      </c>
      <c r="C41" s="11">
        <v>0.801</v>
      </c>
      <c r="D41" s="11">
        <v>-0.482</v>
      </c>
      <c r="E41" s="12"/>
      <c r="F41" s="10">
        <v>39.0</v>
      </c>
      <c r="G41" s="13">
        <v>0.486</v>
      </c>
      <c r="H41" s="13">
        <v>0.439</v>
      </c>
      <c r="I41" s="13">
        <v>-0.221</v>
      </c>
      <c r="J41" s="12"/>
      <c r="K41" s="10">
        <f t="shared" ref="K41:M41" si="58">B41-G41</f>
        <v>0.553</v>
      </c>
      <c r="L41" s="10">
        <f t="shared" si="58"/>
        <v>0.362</v>
      </c>
      <c r="M41" s="10">
        <f t="shared" si="58"/>
        <v>-0.261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1.337</v>
      </c>
      <c r="C42" s="11">
        <v>0.679</v>
      </c>
      <c r="D42" s="11">
        <v>-0.563</v>
      </c>
      <c r="E42" s="12"/>
      <c r="F42" s="10">
        <v>40.0</v>
      </c>
      <c r="G42" s="13">
        <v>0.572</v>
      </c>
      <c r="H42" s="13">
        <v>0.429</v>
      </c>
      <c r="I42" s="13">
        <v>-0.246</v>
      </c>
      <c r="J42" s="12"/>
      <c r="K42" s="10">
        <f t="shared" ref="K42:M42" si="59">B42-G42</f>
        <v>0.765</v>
      </c>
      <c r="L42" s="10">
        <f t="shared" si="59"/>
        <v>0.25</v>
      </c>
      <c r="M42" s="10">
        <f t="shared" si="59"/>
        <v>-0.317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0.825</v>
      </c>
      <c r="C43" s="11">
        <v>0.445</v>
      </c>
      <c r="D43" s="11">
        <v>-0.389</v>
      </c>
      <c r="E43" s="12"/>
      <c r="F43" s="10">
        <v>41.0</v>
      </c>
      <c r="G43" s="13">
        <v>0.533</v>
      </c>
      <c r="H43" s="13">
        <v>0.402</v>
      </c>
      <c r="I43" s="13">
        <v>-0.236</v>
      </c>
      <c r="J43" s="12"/>
      <c r="K43" s="10">
        <f t="shared" ref="K43:M43" si="60">B43-G43</f>
        <v>0.292</v>
      </c>
      <c r="L43" s="10">
        <f t="shared" si="60"/>
        <v>0.043</v>
      </c>
      <c r="M43" s="10">
        <f t="shared" si="60"/>
        <v>-0.153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0.853</v>
      </c>
      <c r="C44" s="11">
        <v>0.542</v>
      </c>
      <c r="D44" s="11">
        <v>-0.417</v>
      </c>
      <c r="E44" s="12"/>
      <c r="F44" s="10">
        <v>42.0</v>
      </c>
      <c r="G44" s="13">
        <v>0.462</v>
      </c>
      <c r="H44" s="13">
        <v>0.399</v>
      </c>
      <c r="I44" s="13">
        <v>-0.226</v>
      </c>
      <c r="J44" s="12"/>
      <c r="K44" s="10">
        <f t="shared" ref="K44:M44" si="61">B44-G44</f>
        <v>0.391</v>
      </c>
      <c r="L44" s="10">
        <f t="shared" si="61"/>
        <v>0.143</v>
      </c>
      <c r="M44" s="10">
        <f t="shared" si="61"/>
        <v>-0.191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0.915</v>
      </c>
      <c r="C45" s="11">
        <v>0.616</v>
      </c>
      <c r="D45" s="11">
        <v>-0.467</v>
      </c>
      <c r="E45" s="12"/>
      <c r="F45" s="10">
        <v>43.0</v>
      </c>
      <c r="G45" s="13">
        <v>0.445</v>
      </c>
      <c r="H45" s="13">
        <v>0.357</v>
      </c>
      <c r="I45" s="13">
        <v>-0.21</v>
      </c>
      <c r="J45" s="12"/>
      <c r="K45" s="10">
        <f t="shared" ref="K45:M45" si="62">B45-G45</f>
        <v>0.47</v>
      </c>
      <c r="L45" s="10">
        <f t="shared" si="62"/>
        <v>0.259</v>
      </c>
      <c r="M45" s="10">
        <f t="shared" si="62"/>
        <v>-0.257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1.318</v>
      </c>
      <c r="C46" s="11">
        <v>0.647</v>
      </c>
      <c r="D46" s="11">
        <v>-0.536</v>
      </c>
      <c r="E46" s="12"/>
      <c r="F46" s="10">
        <v>44.0</v>
      </c>
      <c r="G46" s="13">
        <v>0.46</v>
      </c>
      <c r="H46" s="13">
        <v>0.351</v>
      </c>
      <c r="I46" s="13">
        <v>-0.226</v>
      </c>
      <c r="J46" s="12"/>
      <c r="K46" s="10">
        <f t="shared" ref="K46:M46" si="63">B46-G46</f>
        <v>0.858</v>
      </c>
      <c r="L46" s="10">
        <f t="shared" si="63"/>
        <v>0.296</v>
      </c>
      <c r="M46" s="10">
        <f t="shared" si="63"/>
        <v>-0.31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1.126</v>
      </c>
      <c r="C47" s="11">
        <v>0.745</v>
      </c>
      <c r="D47" s="11">
        <v>-0.459</v>
      </c>
      <c r="E47" s="12"/>
      <c r="F47" s="10">
        <v>45.0</v>
      </c>
      <c r="G47" s="13">
        <v>0.411</v>
      </c>
      <c r="H47" s="13">
        <v>0.335</v>
      </c>
      <c r="I47" s="13">
        <v>-0.195</v>
      </c>
      <c r="J47" s="12"/>
      <c r="K47" s="10">
        <f t="shared" ref="K47:M47" si="64">B47-G47</f>
        <v>0.715</v>
      </c>
      <c r="L47" s="10">
        <f t="shared" si="64"/>
        <v>0.41</v>
      </c>
      <c r="M47" s="10">
        <f t="shared" si="64"/>
        <v>-0.264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0.819</v>
      </c>
      <c r="C48" s="11">
        <v>0.631</v>
      </c>
      <c r="D48" s="11">
        <v>-0.412</v>
      </c>
      <c r="E48" s="12"/>
      <c r="F48" s="10">
        <v>46.0</v>
      </c>
      <c r="G48" s="13">
        <v>0.421</v>
      </c>
      <c r="H48" s="13">
        <v>0.391</v>
      </c>
      <c r="I48" s="13">
        <v>-0.208</v>
      </c>
      <c r="J48" s="12"/>
      <c r="K48" s="10">
        <f t="shared" ref="K48:M48" si="65">B48-G48</f>
        <v>0.398</v>
      </c>
      <c r="L48" s="10">
        <f t="shared" si="65"/>
        <v>0.24</v>
      </c>
      <c r="M48" s="10">
        <f t="shared" si="65"/>
        <v>-0.204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1.005</v>
      </c>
      <c r="C49" s="11">
        <v>0.688</v>
      </c>
      <c r="D49" s="11">
        <v>-0.437</v>
      </c>
      <c r="E49" s="12"/>
      <c r="F49" s="10">
        <v>47.0</v>
      </c>
      <c r="G49" s="13">
        <v>0.438</v>
      </c>
      <c r="H49" s="13">
        <v>0.356</v>
      </c>
      <c r="I49" s="13">
        <v>-0.202</v>
      </c>
      <c r="J49" s="12"/>
      <c r="K49" s="10">
        <f t="shared" ref="K49:M49" si="66">B49-G49</f>
        <v>0.567</v>
      </c>
      <c r="L49" s="10">
        <f t="shared" si="66"/>
        <v>0.332</v>
      </c>
      <c r="M49" s="10">
        <f t="shared" si="66"/>
        <v>-0.235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1.176</v>
      </c>
      <c r="C50" s="11">
        <v>0.754</v>
      </c>
      <c r="D50" s="11">
        <v>-0.495</v>
      </c>
      <c r="E50" s="12"/>
      <c r="F50" s="10">
        <v>48.0</v>
      </c>
      <c r="G50" s="13">
        <v>0.523</v>
      </c>
      <c r="H50" s="13">
        <v>0.429</v>
      </c>
      <c r="I50" s="13">
        <v>-0.233</v>
      </c>
      <c r="J50" s="12"/>
      <c r="K50" s="10">
        <f t="shared" ref="K50:M50" si="67">B50-G50</f>
        <v>0.653</v>
      </c>
      <c r="L50" s="10">
        <f t="shared" si="67"/>
        <v>0.325</v>
      </c>
      <c r="M50" s="10">
        <f t="shared" si="67"/>
        <v>-0.262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1.147</v>
      </c>
      <c r="C51" s="11">
        <v>0.634</v>
      </c>
      <c r="D51" s="11">
        <v>-0.502</v>
      </c>
      <c r="E51" s="12"/>
      <c r="F51" s="10">
        <v>49.0</v>
      </c>
      <c r="G51" s="13">
        <v>0.424</v>
      </c>
      <c r="H51" s="13">
        <v>0.319</v>
      </c>
      <c r="I51" s="13">
        <v>-0.204</v>
      </c>
      <c r="J51" s="12"/>
      <c r="K51" s="10">
        <f t="shared" ref="K51:M51" si="68">B51-G51</f>
        <v>0.723</v>
      </c>
      <c r="L51" s="10">
        <f t="shared" si="68"/>
        <v>0.315</v>
      </c>
      <c r="M51" s="10">
        <f t="shared" si="68"/>
        <v>-0.298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1.178</v>
      </c>
      <c r="C52" s="11">
        <v>0.742</v>
      </c>
      <c r="D52" s="11">
        <v>-0.505</v>
      </c>
      <c r="E52" s="12"/>
      <c r="F52" s="10">
        <v>50.0</v>
      </c>
      <c r="G52" s="13">
        <v>0.452</v>
      </c>
      <c r="H52" s="13">
        <v>0.341</v>
      </c>
      <c r="I52" s="13">
        <v>-0.205</v>
      </c>
      <c r="J52" s="12"/>
      <c r="K52" s="10">
        <f t="shared" ref="K52:M52" si="69">B52-G52</f>
        <v>0.726</v>
      </c>
      <c r="L52" s="10">
        <f t="shared" si="69"/>
        <v>0.401</v>
      </c>
      <c r="M52" s="10">
        <f t="shared" si="69"/>
        <v>-0.3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