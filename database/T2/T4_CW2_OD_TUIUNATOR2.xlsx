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is" sheetId="1" r:id="rId4"/>
  </sheets>
  <definedNames/>
  <calcPr/>
  <extLst>
    <ext uri="GoogleSheetsCustomDataVersion2">
      <go:sheetsCustomData xmlns:go="http://customooxmlschemas.google.com/" r:id="rId5" roundtripDataChecksum="q+XHTV07sdGbM9XZX5SUjFFSjP4JgDFXHBIZ9sTOWtg="/>
    </ext>
  </extLst>
</workbook>
</file>

<file path=xl/sharedStrings.xml><?xml version="1.0" encoding="utf-8"?>
<sst xmlns="http://schemas.openxmlformats.org/spreadsheetml/2006/main" count="60" uniqueCount="33">
  <si>
    <t>Dynamic</t>
  </si>
  <si>
    <t>Odom</t>
  </si>
  <si>
    <t>Difference</t>
  </si>
  <si>
    <t>Real</t>
  </si>
  <si>
    <t>tcrit - bi-caudal</t>
  </si>
  <si>
    <t>run_id</t>
  </si>
  <si>
    <t>x(m)</t>
  </si>
  <si>
    <t>y(m)</t>
  </si>
  <si>
    <t>theta(rad)</t>
  </si>
  <si>
    <t>d</t>
  </si>
  <si>
    <t>sd</t>
  </si>
  <si>
    <t>1sig</t>
  </si>
  <si>
    <t>-1sig</t>
  </si>
  <si>
    <t>Platform</t>
  </si>
  <si>
    <t>n</t>
  </si>
  <si>
    <t>Diferença - Pareado</t>
  </si>
  <si>
    <t>n1</t>
  </si>
  <si>
    <t>n2</t>
  </si>
  <si>
    <t>t</t>
  </si>
  <si>
    <t>Diferença - Não Pareado</t>
  </si>
  <si>
    <t>sp2</t>
  </si>
  <si>
    <t>s1-2</t>
  </si>
  <si>
    <t>Variâncias amostrais</t>
  </si>
  <si>
    <t>s2-2</t>
  </si>
  <si>
    <t>sp-2</t>
  </si>
  <si>
    <t>Variância combinada</t>
  </si>
  <si>
    <t>se</t>
  </si>
  <si>
    <t>Erro padrão das diferenças</t>
  </si>
  <si>
    <t>Teste t</t>
  </si>
  <si>
    <t>gl</t>
  </si>
  <si>
    <t>Graus de liberdade</t>
  </si>
  <si>
    <t>p</t>
  </si>
  <si>
    <t>p 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</si>
</sst>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5" fillId="0" fontId="1" numFmtId="0" xfId="0" applyAlignment="1" applyBorder="1" applyFont="1">
      <alignment horizontal="center" vertical="top"/>
    </xf>
    <xf borderId="4" fillId="0" fontId="3" numFmtId="2" xfId="0" applyBorder="1" applyFont="1" applyNumberFormat="1"/>
    <xf borderId="4" fillId="0" fontId="3" numFmtId="0" xfId="0" applyAlignment="1" applyBorder="1" applyFont="1">
      <alignment horizontal="right" vertical="bottom"/>
    </xf>
    <xf borderId="0" fillId="0" fontId="3" numFmtId="2" xfId="0" applyFont="1" applyNumberFormat="1"/>
    <xf borderId="4" fillId="0" fontId="3" numFmtId="0" xfId="0" applyBorder="1" applyFont="1"/>
    <xf borderId="4" fillId="0" fontId="3" numFmtId="164" xfId="0" applyBorder="1" applyFont="1" applyNumberFormat="1"/>
    <xf borderId="4" fillId="0" fontId="3" numFmtId="0" xfId="0" applyAlignment="1" applyBorder="1" applyFont="1">
      <alignment horizontal="center"/>
    </xf>
    <xf borderId="4" fillId="0" fontId="1" numFmtId="0" xfId="0" applyBorder="1" applyFont="1"/>
    <xf borderId="4" fillId="0" fontId="4" numFmtId="164" xfId="0" applyBorder="1" applyFont="1" applyNumberFormat="1"/>
    <xf borderId="4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3" width="5.14"/>
    <col customWidth="1" min="4" max="4" width="10.0"/>
    <col customWidth="1" min="5" max="5" width="8.71"/>
    <col customWidth="1" min="6" max="6" width="6.71"/>
    <col customWidth="1" min="7" max="8" width="5.14"/>
    <col customWidth="1" min="9" max="10" width="10.0"/>
    <col customWidth="1" min="11" max="12" width="5.29"/>
    <col customWidth="1" min="13" max="13" width="10.0"/>
    <col customWidth="1" min="14" max="14" width="8.71"/>
    <col customWidth="1" min="15" max="15" width="6.14"/>
    <col customWidth="1" min="16" max="17" width="9.14"/>
    <col customWidth="1" min="18" max="18" width="10.0"/>
    <col customWidth="1" min="19" max="19" width="24.71"/>
    <col customWidth="1" min="20" max="20" width="3.0"/>
    <col customWidth="1" min="21" max="21" width="5.57"/>
    <col customWidth="1" min="22" max="22" width="10.0"/>
    <col customWidth="1" min="23" max="23" width="8.71"/>
  </cols>
  <sheetData>
    <row r="1">
      <c r="A1" s="1" t="s">
        <v>0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5" t="s">
        <v>2</v>
      </c>
      <c r="L1" s="2"/>
      <c r="M1" s="3"/>
      <c r="N1" s="4"/>
      <c r="O1" s="5" t="s">
        <v>3</v>
      </c>
      <c r="P1" s="2"/>
      <c r="Q1" s="2"/>
      <c r="R1" s="3"/>
      <c r="S1" s="4"/>
      <c r="T1" s="4"/>
      <c r="U1" s="4"/>
      <c r="V1" s="5" t="s">
        <v>4</v>
      </c>
      <c r="W1" s="3"/>
      <c r="X1" s="4"/>
    </row>
    <row r="2">
      <c r="A2" s="7" t="s">
        <v>5</v>
      </c>
      <c r="B2" s="7" t="s">
        <v>6</v>
      </c>
      <c r="C2" s="7" t="s">
        <v>7</v>
      </c>
      <c r="D2" s="7" t="s">
        <v>8</v>
      </c>
      <c r="E2" s="4"/>
      <c r="F2" s="7" t="s">
        <v>5</v>
      </c>
      <c r="G2" s="7" t="s">
        <v>6</v>
      </c>
      <c r="H2" s="7" t="s">
        <v>7</v>
      </c>
      <c r="I2" s="7" t="s">
        <v>8</v>
      </c>
      <c r="J2" s="8"/>
      <c r="K2" s="7" t="s">
        <v>6</v>
      </c>
      <c r="L2" s="7" t="s">
        <v>7</v>
      </c>
      <c r="M2" s="7" t="s">
        <v>8</v>
      </c>
      <c r="N2" s="4"/>
      <c r="O2" s="7"/>
      <c r="P2" s="7" t="s">
        <v>6</v>
      </c>
      <c r="Q2" s="7" t="s">
        <v>7</v>
      </c>
      <c r="R2" s="7" t="s">
        <v>8</v>
      </c>
      <c r="S2" s="4"/>
      <c r="T2" s="4"/>
      <c r="U2" s="4"/>
      <c r="V2" s="9">
        <v>0.05</v>
      </c>
      <c r="W2" s="9">
        <v>0.01</v>
      </c>
      <c r="X2" s="4"/>
    </row>
    <row r="3">
      <c r="A3" s="10">
        <v>1.0</v>
      </c>
      <c r="B3" s="11">
        <v>0.788</v>
      </c>
      <c r="C3" s="11">
        <v>0.459</v>
      </c>
      <c r="D3" s="11">
        <v>-0.355</v>
      </c>
      <c r="E3" s="12"/>
      <c r="F3" s="10">
        <v>1.0</v>
      </c>
      <c r="G3" s="13">
        <v>0.981</v>
      </c>
      <c r="H3" s="13">
        <v>0.679</v>
      </c>
      <c r="I3" s="13">
        <v>-0.451</v>
      </c>
      <c r="J3" s="12"/>
      <c r="K3" s="10">
        <f t="shared" ref="K3:M3" si="1">B3-G3</f>
        <v>-0.193</v>
      </c>
      <c r="L3" s="10">
        <f t="shared" si="1"/>
        <v>-0.22</v>
      </c>
      <c r="M3" s="10">
        <f t="shared" si="1"/>
        <v>0.096</v>
      </c>
      <c r="N3" s="4"/>
      <c r="O3" s="13" t="s">
        <v>9</v>
      </c>
      <c r="P3" s="14">
        <f t="shared" ref="P3:R3" si="2">AVERAGE(B3:B52)</f>
        <v>0.99734</v>
      </c>
      <c r="Q3" s="14">
        <f t="shared" si="2"/>
        <v>0.63052</v>
      </c>
      <c r="R3" s="14">
        <f t="shared" si="2"/>
        <v>-0.44652</v>
      </c>
      <c r="S3" s="4"/>
      <c r="T3" s="4"/>
      <c r="U3" s="15">
        <v>49.0</v>
      </c>
      <c r="V3" s="15">
        <v>2.009</v>
      </c>
      <c r="W3" s="15">
        <v>2.68</v>
      </c>
      <c r="X3" s="4"/>
    </row>
    <row r="4">
      <c r="A4" s="10">
        <v>2.0</v>
      </c>
      <c r="B4" s="11">
        <v>0.827</v>
      </c>
      <c r="C4" s="11">
        <v>0.65</v>
      </c>
      <c r="D4" s="11">
        <v>-0.401</v>
      </c>
      <c r="E4" s="12"/>
      <c r="F4" s="10">
        <v>2.0</v>
      </c>
      <c r="G4" s="13">
        <v>1.029</v>
      </c>
      <c r="H4" s="13">
        <v>0.638</v>
      </c>
      <c r="I4" s="13">
        <v>-0.475</v>
      </c>
      <c r="J4" s="12"/>
      <c r="K4" s="10">
        <f t="shared" ref="K4:M4" si="3">B4-G4</f>
        <v>-0.202</v>
      </c>
      <c r="L4" s="10">
        <f t="shared" si="3"/>
        <v>0.012</v>
      </c>
      <c r="M4" s="10">
        <f t="shared" si="3"/>
        <v>0.074</v>
      </c>
      <c r="N4" s="4"/>
      <c r="O4" s="13" t="s">
        <v>10</v>
      </c>
      <c r="P4" s="14">
        <f t="shared" ref="P4:R4" si="4">_xlfn.STDEV.S(B3:B52)</f>
        <v>0.1637616</v>
      </c>
      <c r="Q4" s="14">
        <f t="shared" si="4"/>
        <v>0.08408893251</v>
      </c>
      <c r="R4" s="14">
        <f t="shared" si="4"/>
        <v>0.05542865979</v>
      </c>
      <c r="S4" s="4"/>
      <c r="T4" s="4"/>
      <c r="U4" s="15">
        <v>98.0</v>
      </c>
      <c r="V4" s="15">
        <v>1.984</v>
      </c>
      <c r="W4" s="15">
        <v>2.626</v>
      </c>
      <c r="X4" s="4"/>
    </row>
    <row r="5">
      <c r="A5" s="10">
        <v>3.0</v>
      </c>
      <c r="B5" s="11">
        <v>0.918</v>
      </c>
      <c r="C5" s="11">
        <v>0.523</v>
      </c>
      <c r="D5" s="11">
        <v>-0.44</v>
      </c>
      <c r="E5" s="12"/>
      <c r="F5" s="10">
        <v>3.0</v>
      </c>
      <c r="G5" s="13">
        <v>1.018</v>
      </c>
      <c r="H5" s="13">
        <v>0.665</v>
      </c>
      <c r="I5" s="13">
        <v>-0.454</v>
      </c>
      <c r="J5" s="12"/>
      <c r="K5" s="10">
        <f t="shared" ref="K5:M5" si="5">B5-G5</f>
        <v>-0.1</v>
      </c>
      <c r="L5" s="10">
        <f t="shared" si="5"/>
        <v>-0.142</v>
      </c>
      <c r="M5" s="10">
        <f t="shared" si="5"/>
        <v>0.014</v>
      </c>
      <c r="N5" s="4"/>
      <c r="O5" s="13" t="s">
        <v>11</v>
      </c>
      <c r="P5" s="14">
        <f t="shared" ref="P5:R5" si="6">P3+P4</f>
        <v>1.1611016</v>
      </c>
      <c r="Q5" s="14">
        <f t="shared" si="6"/>
        <v>0.7146089325</v>
      </c>
      <c r="R5" s="14">
        <f t="shared" si="6"/>
        <v>-0.3910913402</v>
      </c>
      <c r="S5" s="4"/>
      <c r="T5" s="4"/>
      <c r="U5" s="4"/>
      <c r="V5" s="4"/>
      <c r="W5" s="4"/>
      <c r="X5" s="4"/>
    </row>
    <row r="6">
      <c r="A6" s="10">
        <v>4.0</v>
      </c>
      <c r="B6" s="11">
        <v>1.296</v>
      </c>
      <c r="C6" s="11">
        <v>0.607</v>
      </c>
      <c r="D6" s="11">
        <v>-0.527</v>
      </c>
      <c r="E6" s="12"/>
      <c r="F6" s="10">
        <v>4.0</v>
      </c>
      <c r="G6" s="13">
        <v>0.98</v>
      </c>
      <c r="H6" s="13">
        <v>0.689</v>
      </c>
      <c r="I6" s="13">
        <v>-0.436</v>
      </c>
      <c r="J6" s="12"/>
      <c r="K6" s="10">
        <f t="shared" ref="K6:M6" si="7">B6-G6</f>
        <v>0.316</v>
      </c>
      <c r="L6" s="10">
        <f t="shared" si="7"/>
        <v>-0.082</v>
      </c>
      <c r="M6" s="10">
        <f t="shared" si="7"/>
        <v>-0.091</v>
      </c>
      <c r="N6" s="4"/>
      <c r="O6" s="13" t="s">
        <v>12</v>
      </c>
      <c r="P6" s="14">
        <f t="shared" ref="P6:R6" si="8">P3-P4</f>
        <v>0.8335784</v>
      </c>
      <c r="Q6" s="14">
        <f t="shared" si="8"/>
        <v>0.5464310675</v>
      </c>
      <c r="R6" s="14">
        <f t="shared" si="8"/>
        <v>-0.5019486598</v>
      </c>
      <c r="S6" s="4"/>
      <c r="T6" s="4"/>
      <c r="U6" s="4"/>
      <c r="V6" s="4"/>
      <c r="W6" s="4"/>
      <c r="X6" s="4"/>
    </row>
    <row r="7">
      <c r="A7" s="10">
        <v>5.0</v>
      </c>
      <c r="B7" s="11">
        <v>1.169</v>
      </c>
      <c r="C7" s="11">
        <v>0.698</v>
      </c>
      <c r="D7" s="11">
        <v>-0.516</v>
      </c>
      <c r="E7" s="12"/>
      <c r="F7" s="10">
        <v>5.0</v>
      </c>
      <c r="G7" s="13">
        <v>1.028</v>
      </c>
      <c r="H7" s="13">
        <v>0.608</v>
      </c>
      <c r="I7" s="13">
        <v>-0.47</v>
      </c>
      <c r="J7" s="12"/>
      <c r="K7" s="10">
        <f t="shared" ref="K7:M7" si="9">B7-G7</f>
        <v>0.141</v>
      </c>
      <c r="L7" s="10">
        <f t="shared" si="9"/>
        <v>0.09</v>
      </c>
      <c r="M7" s="10">
        <f t="shared" si="9"/>
        <v>-0.046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0">
        <v>6.0</v>
      </c>
      <c r="B8" s="11">
        <v>1.232</v>
      </c>
      <c r="C8" s="11">
        <v>0.652</v>
      </c>
      <c r="D8" s="11">
        <v>-0.507</v>
      </c>
      <c r="E8" s="12"/>
      <c r="F8" s="10">
        <v>6.0</v>
      </c>
      <c r="G8" s="13">
        <v>1.07</v>
      </c>
      <c r="H8" s="13">
        <v>0.593</v>
      </c>
      <c r="I8" s="13">
        <v>-0.458</v>
      </c>
      <c r="J8" s="12"/>
      <c r="K8" s="10">
        <f t="shared" ref="K8:M8" si="10">B8-G8</f>
        <v>0.162</v>
      </c>
      <c r="L8" s="10">
        <f t="shared" si="10"/>
        <v>0.059</v>
      </c>
      <c r="M8" s="10">
        <f t="shared" si="10"/>
        <v>-0.049</v>
      </c>
      <c r="N8" s="4"/>
      <c r="O8" s="5" t="s">
        <v>13</v>
      </c>
      <c r="P8" s="2"/>
      <c r="Q8" s="2"/>
      <c r="R8" s="3"/>
      <c r="S8" s="4"/>
      <c r="T8" s="4"/>
      <c r="U8" s="4"/>
      <c r="V8" s="4"/>
      <c r="W8" s="4"/>
      <c r="X8" s="4"/>
    </row>
    <row r="9">
      <c r="A9" s="10">
        <v>7.0</v>
      </c>
      <c r="B9" s="11">
        <v>0.88</v>
      </c>
      <c r="C9" s="11">
        <v>0.726</v>
      </c>
      <c r="D9" s="11">
        <v>-0.405</v>
      </c>
      <c r="E9" s="12"/>
      <c r="F9" s="10">
        <v>7.0</v>
      </c>
      <c r="G9" s="13">
        <v>1.13</v>
      </c>
      <c r="H9" s="13">
        <v>0.603</v>
      </c>
      <c r="I9" s="13">
        <v>-0.47</v>
      </c>
      <c r="J9" s="12"/>
      <c r="K9" s="10">
        <f t="shared" ref="K9:M9" si="11">B9-G9</f>
        <v>-0.25</v>
      </c>
      <c r="L9" s="10">
        <f t="shared" si="11"/>
        <v>0.123</v>
      </c>
      <c r="M9" s="10">
        <f t="shared" si="11"/>
        <v>0.065</v>
      </c>
      <c r="N9" s="4"/>
      <c r="O9" s="7"/>
      <c r="P9" s="7" t="s">
        <v>6</v>
      </c>
      <c r="Q9" s="7" t="s">
        <v>7</v>
      </c>
      <c r="R9" s="7" t="s">
        <v>8</v>
      </c>
      <c r="S9" s="4"/>
      <c r="T9" s="4"/>
      <c r="U9" s="4"/>
      <c r="V9" s="4"/>
      <c r="W9" s="4"/>
      <c r="X9" s="4"/>
    </row>
    <row r="10">
      <c r="A10" s="10">
        <v>8.0</v>
      </c>
      <c r="B10" s="11">
        <v>1.019</v>
      </c>
      <c r="C10" s="11">
        <v>0.723</v>
      </c>
      <c r="D10" s="11">
        <v>-0.483</v>
      </c>
      <c r="E10" s="12"/>
      <c r="F10" s="10">
        <v>8.0</v>
      </c>
      <c r="G10" s="13">
        <v>1.217</v>
      </c>
      <c r="H10" s="13">
        <v>0.734</v>
      </c>
      <c r="I10" s="13">
        <v>-0.509</v>
      </c>
      <c r="J10" s="12"/>
      <c r="K10" s="10">
        <f t="shared" ref="K10:M10" si="12">B10-G10</f>
        <v>-0.198</v>
      </c>
      <c r="L10" s="10">
        <f t="shared" si="12"/>
        <v>-0.011</v>
      </c>
      <c r="M10" s="10">
        <f t="shared" si="12"/>
        <v>0.026</v>
      </c>
      <c r="N10" s="4"/>
      <c r="O10" s="13" t="s">
        <v>9</v>
      </c>
      <c r="P10" s="14">
        <f t="shared" ref="P10:R10" si="13">AVERAGE(G3:G52)</f>
        <v>1.041</v>
      </c>
      <c r="Q10" s="14">
        <f t="shared" si="13"/>
        <v>0.6468</v>
      </c>
      <c r="R10" s="14">
        <f t="shared" si="13"/>
        <v>-0.46352</v>
      </c>
      <c r="S10" s="4"/>
      <c r="T10" s="4"/>
      <c r="U10" s="4"/>
      <c r="V10" s="4"/>
      <c r="W10" s="4"/>
      <c r="X10" s="4"/>
    </row>
    <row r="11">
      <c r="A11" s="10">
        <v>9.0</v>
      </c>
      <c r="B11" s="11">
        <v>0.855</v>
      </c>
      <c r="C11" s="11">
        <v>0.393</v>
      </c>
      <c r="D11" s="11">
        <v>-0.42</v>
      </c>
      <c r="E11" s="12"/>
      <c r="F11" s="10">
        <v>9.0</v>
      </c>
      <c r="G11" s="13">
        <v>0.97</v>
      </c>
      <c r="H11" s="13">
        <v>0.642</v>
      </c>
      <c r="I11" s="13">
        <v>-0.44</v>
      </c>
      <c r="J11" s="12"/>
      <c r="K11" s="10">
        <f t="shared" ref="K11:M11" si="14">B11-G11</f>
        <v>-0.115</v>
      </c>
      <c r="L11" s="10">
        <f t="shared" si="14"/>
        <v>-0.249</v>
      </c>
      <c r="M11" s="10">
        <f t="shared" si="14"/>
        <v>0.02</v>
      </c>
      <c r="N11" s="4"/>
      <c r="O11" s="13" t="s">
        <v>10</v>
      </c>
      <c r="P11" s="14">
        <f t="shared" ref="P11:R11" si="15">_xlfn.STDEV.S(G3:G52)</f>
        <v>0.07336406283</v>
      </c>
      <c r="Q11" s="14">
        <f t="shared" si="15"/>
        <v>0.04697850138</v>
      </c>
      <c r="R11" s="14">
        <f t="shared" si="15"/>
        <v>0.025351601</v>
      </c>
      <c r="S11" s="4"/>
      <c r="T11" s="16" t="s">
        <v>14</v>
      </c>
      <c r="U11" s="4"/>
      <c r="V11" s="4"/>
      <c r="W11" s="4"/>
      <c r="X11" s="4"/>
    </row>
    <row r="12">
      <c r="A12" s="10">
        <v>10.0</v>
      </c>
      <c r="B12" s="11">
        <v>1.237</v>
      </c>
      <c r="C12" s="11">
        <v>0.712</v>
      </c>
      <c r="D12" s="11">
        <v>-0.529</v>
      </c>
      <c r="E12" s="12"/>
      <c r="F12" s="10">
        <v>10.0</v>
      </c>
      <c r="G12" s="13">
        <v>1.043</v>
      </c>
      <c r="H12" s="13">
        <v>0.635</v>
      </c>
      <c r="I12" s="13">
        <v>-0.485</v>
      </c>
      <c r="J12" s="12"/>
      <c r="K12" s="10">
        <f t="shared" ref="K12:M12" si="16">B12-G12</f>
        <v>0.194</v>
      </c>
      <c r="L12" s="10">
        <f t="shared" si="16"/>
        <v>0.077</v>
      </c>
      <c r="M12" s="10">
        <f t="shared" si="16"/>
        <v>-0.044</v>
      </c>
      <c r="N12" s="4"/>
      <c r="O12" s="13" t="s">
        <v>11</v>
      </c>
      <c r="P12" s="14">
        <f t="shared" ref="P12:R12" si="17">P10+P11</f>
        <v>1.114364063</v>
      </c>
      <c r="Q12" s="14">
        <f t="shared" si="17"/>
        <v>0.6937785014</v>
      </c>
      <c r="R12" s="14">
        <f t="shared" si="17"/>
        <v>-0.438168399</v>
      </c>
      <c r="S12" s="4"/>
      <c r="T12" s="13">
        <v>50.0</v>
      </c>
      <c r="U12" s="4"/>
      <c r="V12" s="4"/>
      <c r="W12" s="4"/>
      <c r="X12" s="4"/>
    </row>
    <row r="13">
      <c r="A13" s="10">
        <v>11.0</v>
      </c>
      <c r="B13" s="11">
        <v>1.05</v>
      </c>
      <c r="C13" s="11">
        <v>0.646</v>
      </c>
      <c r="D13" s="11">
        <v>-0.473</v>
      </c>
      <c r="E13" s="12"/>
      <c r="F13" s="10">
        <v>11.0</v>
      </c>
      <c r="G13" s="13">
        <v>1.105</v>
      </c>
      <c r="H13" s="13">
        <v>0.619</v>
      </c>
      <c r="I13" s="13">
        <v>-0.474</v>
      </c>
      <c r="J13" s="12"/>
      <c r="K13" s="10">
        <f t="shared" ref="K13:M13" si="18">B13-G13</f>
        <v>-0.055</v>
      </c>
      <c r="L13" s="10">
        <f t="shared" si="18"/>
        <v>0.027</v>
      </c>
      <c r="M13" s="10">
        <f t="shared" si="18"/>
        <v>0.001</v>
      </c>
      <c r="N13" s="4"/>
      <c r="O13" s="13" t="s">
        <v>12</v>
      </c>
      <c r="P13" s="14">
        <f t="shared" ref="P13:R13" si="19">P10-P11</f>
        <v>0.9676359372</v>
      </c>
      <c r="Q13" s="14">
        <f t="shared" si="19"/>
        <v>0.5998214986</v>
      </c>
      <c r="R13" s="14">
        <f t="shared" si="19"/>
        <v>-0.488871601</v>
      </c>
      <c r="S13" s="4"/>
      <c r="T13" s="4"/>
      <c r="U13" s="4"/>
      <c r="V13" s="4"/>
      <c r="W13" s="4"/>
      <c r="X13" s="4"/>
    </row>
    <row r="14">
      <c r="A14" s="10">
        <v>12.0</v>
      </c>
      <c r="B14" s="11">
        <v>1.165</v>
      </c>
      <c r="C14" s="11">
        <v>0.691</v>
      </c>
      <c r="D14" s="11">
        <v>-0.526</v>
      </c>
      <c r="E14" s="12"/>
      <c r="F14" s="10">
        <v>12.0</v>
      </c>
      <c r="G14" s="13">
        <v>0.959</v>
      </c>
      <c r="H14" s="13">
        <v>0.644</v>
      </c>
      <c r="I14" s="13">
        <v>-0.434</v>
      </c>
      <c r="J14" s="12"/>
      <c r="K14" s="10">
        <f t="shared" ref="K14:M14" si="20">B14-G14</f>
        <v>0.206</v>
      </c>
      <c r="L14" s="10">
        <f t="shared" si="20"/>
        <v>0.047</v>
      </c>
      <c r="M14" s="10">
        <f t="shared" si="20"/>
        <v>-0.092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0">
        <v>13.0</v>
      </c>
      <c r="B15" s="11">
        <v>1.006</v>
      </c>
      <c r="C15" s="11">
        <v>0.68</v>
      </c>
      <c r="D15" s="11">
        <v>-0.431</v>
      </c>
      <c r="E15" s="12"/>
      <c r="F15" s="10">
        <v>13.0</v>
      </c>
      <c r="G15" s="13">
        <v>1.083</v>
      </c>
      <c r="H15" s="13">
        <v>0.542</v>
      </c>
      <c r="I15" s="13">
        <v>-0.472</v>
      </c>
      <c r="J15" s="12"/>
      <c r="K15" s="10">
        <f t="shared" ref="K15:M15" si="21">B15-G15</f>
        <v>-0.077</v>
      </c>
      <c r="L15" s="10">
        <f t="shared" si="21"/>
        <v>0.138</v>
      </c>
      <c r="M15" s="10">
        <f t="shared" si="21"/>
        <v>0.041</v>
      </c>
      <c r="N15" s="4"/>
      <c r="O15" s="5" t="s">
        <v>15</v>
      </c>
      <c r="P15" s="2"/>
      <c r="Q15" s="2"/>
      <c r="R15" s="3"/>
      <c r="S15" s="4"/>
      <c r="T15" s="4"/>
      <c r="U15" s="4"/>
      <c r="V15" s="4"/>
      <c r="W15" s="4"/>
      <c r="X15" s="4"/>
    </row>
    <row r="16">
      <c r="A16" s="10">
        <v>14.0</v>
      </c>
      <c r="B16" s="11">
        <v>1.117</v>
      </c>
      <c r="C16" s="11">
        <v>0.59</v>
      </c>
      <c r="D16" s="11">
        <v>-0.495</v>
      </c>
      <c r="E16" s="12"/>
      <c r="F16" s="10">
        <v>14.0</v>
      </c>
      <c r="G16" s="13">
        <v>0.989</v>
      </c>
      <c r="H16" s="13">
        <v>0.626</v>
      </c>
      <c r="I16" s="13">
        <v>-0.442</v>
      </c>
      <c r="J16" s="12"/>
      <c r="K16" s="10">
        <f t="shared" ref="K16:M16" si="22">B16-G16</f>
        <v>0.128</v>
      </c>
      <c r="L16" s="10">
        <f t="shared" si="22"/>
        <v>-0.036</v>
      </c>
      <c r="M16" s="10">
        <f t="shared" si="22"/>
        <v>-0.053</v>
      </c>
      <c r="N16" s="4"/>
      <c r="O16" s="7"/>
      <c r="P16" s="7" t="s">
        <v>6</v>
      </c>
      <c r="Q16" s="7" t="s">
        <v>7</v>
      </c>
      <c r="R16" s="7" t="s">
        <v>8</v>
      </c>
      <c r="S16" s="4"/>
      <c r="T16" s="4"/>
      <c r="U16" s="4"/>
      <c r="V16" s="4"/>
      <c r="W16" s="4"/>
      <c r="X16" s="4"/>
    </row>
    <row r="17">
      <c r="A17" s="10">
        <v>15.0</v>
      </c>
      <c r="B17" s="11">
        <v>0.888</v>
      </c>
      <c r="C17" s="11">
        <v>0.593</v>
      </c>
      <c r="D17" s="11">
        <v>-0.394</v>
      </c>
      <c r="E17" s="12"/>
      <c r="F17" s="10">
        <v>15.0</v>
      </c>
      <c r="G17" s="13">
        <v>1.052</v>
      </c>
      <c r="H17" s="13">
        <v>0.651</v>
      </c>
      <c r="I17" s="13">
        <v>-0.458</v>
      </c>
      <c r="J17" s="12"/>
      <c r="K17" s="10">
        <f t="shared" ref="K17:M17" si="23">B17-G17</f>
        <v>-0.164</v>
      </c>
      <c r="L17" s="10">
        <f t="shared" si="23"/>
        <v>-0.058</v>
      </c>
      <c r="M17" s="10">
        <f t="shared" si="23"/>
        <v>0.064</v>
      </c>
      <c r="N17" s="4"/>
      <c r="O17" s="13" t="s">
        <v>9</v>
      </c>
      <c r="P17" s="14">
        <f t="shared" ref="P17:R17" si="24">AVERAGE(K3:K52)</f>
        <v>-0.04366</v>
      </c>
      <c r="Q17" s="14">
        <f t="shared" si="24"/>
        <v>-0.01628</v>
      </c>
      <c r="R17" s="14">
        <f t="shared" si="24"/>
        <v>0.017</v>
      </c>
      <c r="S17" s="4"/>
      <c r="T17" s="16" t="s">
        <v>16</v>
      </c>
      <c r="U17" s="16" t="s">
        <v>17</v>
      </c>
      <c r="V17" s="4"/>
      <c r="W17" s="4"/>
      <c r="X17" s="4"/>
    </row>
    <row r="18">
      <c r="A18" s="10">
        <v>16.0</v>
      </c>
      <c r="B18" s="11">
        <v>0.884</v>
      </c>
      <c r="C18" s="11">
        <v>0.55</v>
      </c>
      <c r="D18" s="11">
        <v>-0.465</v>
      </c>
      <c r="E18" s="12"/>
      <c r="F18" s="10">
        <v>16.0</v>
      </c>
      <c r="G18" s="13">
        <v>1.032</v>
      </c>
      <c r="H18" s="13">
        <v>0.598</v>
      </c>
      <c r="I18" s="13">
        <v>-0.469</v>
      </c>
      <c r="J18" s="12"/>
      <c r="K18" s="10">
        <f t="shared" ref="K18:M18" si="25">B18-G18</f>
        <v>-0.148</v>
      </c>
      <c r="L18" s="10">
        <f t="shared" si="25"/>
        <v>-0.048</v>
      </c>
      <c r="M18" s="10">
        <f t="shared" si="25"/>
        <v>0.004</v>
      </c>
      <c r="N18" s="4"/>
      <c r="O18" s="13" t="s">
        <v>10</v>
      </c>
      <c r="P18" s="14">
        <f t="shared" ref="P18:R18" si="26">_xlfn.STDEV.S(K3:K52)</f>
        <v>0.1870216194</v>
      </c>
      <c r="Q18" s="14">
        <f t="shared" si="26"/>
        <v>0.09765872272</v>
      </c>
      <c r="R18" s="14">
        <f t="shared" si="26"/>
        <v>0.06414269806</v>
      </c>
      <c r="S18" s="4"/>
      <c r="T18" s="13">
        <v>50.0</v>
      </c>
      <c r="U18" s="13">
        <v>50.0</v>
      </c>
      <c r="V18" s="4"/>
      <c r="W18" s="4"/>
      <c r="X18" s="4"/>
    </row>
    <row r="19">
      <c r="A19" s="10">
        <v>17.0</v>
      </c>
      <c r="B19" s="11">
        <v>1.003</v>
      </c>
      <c r="C19" s="11">
        <v>0.667</v>
      </c>
      <c r="D19" s="11">
        <v>-0.412</v>
      </c>
      <c r="E19" s="12"/>
      <c r="F19" s="10">
        <v>17.0</v>
      </c>
      <c r="G19" s="13">
        <v>1.062</v>
      </c>
      <c r="H19" s="13">
        <v>0.65</v>
      </c>
      <c r="I19" s="13">
        <v>-0.474</v>
      </c>
      <c r="J19" s="12"/>
      <c r="K19" s="10">
        <f t="shared" ref="K19:M19" si="27">B19-G19</f>
        <v>-0.059</v>
      </c>
      <c r="L19" s="10">
        <f t="shared" si="27"/>
        <v>0.017</v>
      </c>
      <c r="M19" s="10">
        <f t="shared" si="27"/>
        <v>0.062</v>
      </c>
      <c r="N19" s="4"/>
      <c r="O19" s="13" t="s">
        <v>18</v>
      </c>
      <c r="P19" s="17">
        <f t="shared" ref="P19:R19" si="28">ABS(P17/(P18/SQRT($T$12)))</f>
        <v>1.650733331</v>
      </c>
      <c r="Q19" s="17">
        <f t="shared" si="28"/>
        <v>1.178768069</v>
      </c>
      <c r="R19" s="17">
        <f t="shared" si="28"/>
        <v>1.874073845</v>
      </c>
      <c r="S19" s="4"/>
      <c r="T19" s="4"/>
      <c r="U19" s="4"/>
      <c r="V19" s="4"/>
      <c r="W19" s="4"/>
      <c r="X19" s="4"/>
    </row>
    <row r="20">
      <c r="A20" s="10">
        <v>18.0</v>
      </c>
      <c r="B20" s="11">
        <v>1.196</v>
      </c>
      <c r="C20" s="11">
        <v>0.626</v>
      </c>
      <c r="D20" s="11">
        <v>-0.495</v>
      </c>
      <c r="E20" s="12"/>
      <c r="F20" s="10">
        <v>18.0</v>
      </c>
      <c r="G20" s="13">
        <v>0.94</v>
      </c>
      <c r="H20" s="13">
        <v>0.66</v>
      </c>
      <c r="I20" s="13">
        <v>-0.437</v>
      </c>
      <c r="J20" s="12"/>
      <c r="K20" s="10">
        <f t="shared" ref="K20:M20" si="29">B20-G20</f>
        <v>0.256</v>
      </c>
      <c r="L20" s="10">
        <f t="shared" si="29"/>
        <v>-0.034</v>
      </c>
      <c r="M20" s="10">
        <f t="shared" si="29"/>
        <v>-0.058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10">
        <v>19.0</v>
      </c>
      <c r="B21" s="11">
        <v>0.675</v>
      </c>
      <c r="C21" s="11">
        <v>0.536</v>
      </c>
      <c r="D21" s="11">
        <v>-0.356</v>
      </c>
      <c r="E21" s="12"/>
      <c r="F21" s="10">
        <v>19.0</v>
      </c>
      <c r="G21" s="13">
        <v>0.971</v>
      </c>
      <c r="H21" s="13">
        <v>0.622</v>
      </c>
      <c r="I21" s="13">
        <v>-0.45</v>
      </c>
      <c r="J21" s="12"/>
      <c r="K21" s="10">
        <f t="shared" ref="K21:M21" si="30">B21-G21</f>
        <v>-0.296</v>
      </c>
      <c r="L21" s="10">
        <f t="shared" si="30"/>
        <v>-0.086</v>
      </c>
      <c r="M21" s="10">
        <f t="shared" si="30"/>
        <v>0.094</v>
      </c>
      <c r="N21" s="4"/>
      <c r="O21" s="5" t="s">
        <v>19</v>
      </c>
      <c r="P21" s="2"/>
      <c r="Q21" s="2"/>
      <c r="R21" s="3"/>
      <c r="S21" s="4"/>
      <c r="T21" s="4"/>
      <c r="U21" s="4"/>
      <c r="V21" s="4"/>
      <c r="W21" s="4"/>
      <c r="X21" s="4"/>
    </row>
    <row r="22" ht="15.75" customHeight="1">
      <c r="A22" s="10">
        <v>20.0</v>
      </c>
      <c r="B22" s="11">
        <v>0.92</v>
      </c>
      <c r="C22" s="11">
        <v>0.661</v>
      </c>
      <c r="D22" s="11">
        <v>-0.411</v>
      </c>
      <c r="E22" s="12"/>
      <c r="F22" s="10">
        <v>20.0</v>
      </c>
      <c r="G22" s="13">
        <v>1.0</v>
      </c>
      <c r="H22" s="13">
        <v>0.681</v>
      </c>
      <c r="I22" s="13">
        <v>-0.457</v>
      </c>
      <c r="J22" s="12"/>
      <c r="K22" s="10">
        <f t="shared" ref="K22:M22" si="31">B22-G22</f>
        <v>-0.08</v>
      </c>
      <c r="L22" s="10">
        <f t="shared" si="31"/>
        <v>-0.02</v>
      </c>
      <c r="M22" s="10">
        <f t="shared" si="31"/>
        <v>0.046</v>
      </c>
      <c r="N22" s="4"/>
      <c r="O22" s="7"/>
      <c r="P22" s="7" t="s">
        <v>6</v>
      </c>
      <c r="Q22" s="7" t="s">
        <v>7</v>
      </c>
      <c r="R22" s="7" t="s">
        <v>8</v>
      </c>
      <c r="S22" s="4"/>
      <c r="T22" s="4"/>
      <c r="U22" s="4"/>
      <c r="V22" s="4"/>
      <c r="W22" s="4"/>
      <c r="X22" s="4"/>
    </row>
    <row r="23" ht="15.75" customHeight="1">
      <c r="A23" s="10">
        <v>21.0</v>
      </c>
      <c r="B23" s="11">
        <v>0.89</v>
      </c>
      <c r="C23" s="11">
        <v>0.553</v>
      </c>
      <c r="D23" s="11">
        <v>-0.419</v>
      </c>
      <c r="E23" s="12"/>
      <c r="F23" s="10">
        <v>21.0</v>
      </c>
      <c r="G23" s="13">
        <v>1.08</v>
      </c>
      <c r="H23" s="13">
        <v>0.707</v>
      </c>
      <c r="I23" s="13">
        <v>-0.472</v>
      </c>
      <c r="J23" s="12"/>
      <c r="K23" s="10">
        <f t="shared" ref="K23:M23" si="32">B23-G23</f>
        <v>-0.19</v>
      </c>
      <c r="L23" s="10">
        <f t="shared" si="32"/>
        <v>-0.154</v>
      </c>
      <c r="M23" s="10">
        <f t="shared" si="32"/>
        <v>0.053</v>
      </c>
      <c r="N23" s="4"/>
      <c r="O23" s="16" t="s">
        <v>20</v>
      </c>
      <c r="P23" s="14">
        <f t="shared" ref="P23:R23" si="33">(($T$18-1)*(P4^2) + ($U$18-1)*(P11^2))/($T$18+$U$18-2)</f>
        <v>0.01610007367</v>
      </c>
      <c r="Q23" s="14">
        <f t="shared" si="33"/>
        <v>0.004638964082</v>
      </c>
      <c r="R23" s="14">
        <f t="shared" si="33"/>
        <v>0.00185752</v>
      </c>
      <c r="S23" s="4"/>
      <c r="T23" s="4"/>
      <c r="U23" s="4"/>
      <c r="V23" s="4"/>
      <c r="W23" s="4"/>
      <c r="X23" s="4"/>
    </row>
    <row r="24" ht="15.75" customHeight="1">
      <c r="A24" s="10">
        <v>22.0</v>
      </c>
      <c r="B24" s="11">
        <v>0.748</v>
      </c>
      <c r="C24" s="11">
        <v>0.521</v>
      </c>
      <c r="D24" s="11">
        <v>-0.374</v>
      </c>
      <c r="E24" s="12"/>
      <c r="F24" s="10">
        <v>22.0</v>
      </c>
      <c r="G24" s="13">
        <v>1.013</v>
      </c>
      <c r="H24" s="13">
        <v>0.666</v>
      </c>
      <c r="I24" s="13">
        <v>-0.451</v>
      </c>
      <c r="J24" s="12"/>
      <c r="K24" s="10">
        <f t="shared" ref="K24:M24" si="34">B24-G24</f>
        <v>-0.265</v>
      </c>
      <c r="L24" s="10">
        <f t="shared" si="34"/>
        <v>-0.145</v>
      </c>
      <c r="M24" s="10">
        <f t="shared" si="34"/>
        <v>0.077</v>
      </c>
      <c r="N24" s="4"/>
      <c r="O24" s="16" t="s">
        <v>21</v>
      </c>
      <c r="P24" s="14">
        <f t="shared" ref="P24:R24" si="35">P4^2</f>
        <v>0.02681786163</v>
      </c>
      <c r="Q24" s="14">
        <f t="shared" si="35"/>
        <v>0.007070948571</v>
      </c>
      <c r="R24" s="14">
        <f t="shared" si="35"/>
        <v>0.003072336327</v>
      </c>
      <c r="S24" s="4" t="s">
        <v>22</v>
      </c>
      <c r="T24" s="4"/>
      <c r="U24" s="4"/>
      <c r="V24" s="4"/>
      <c r="W24" s="4"/>
      <c r="X24" s="4"/>
    </row>
    <row r="25" ht="15.75" customHeight="1">
      <c r="A25" s="10">
        <v>23.0</v>
      </c>
      <c r="B25" s="11">
        <v>0.94</v>
      </c>
      <c r="C25" s="11">
        <v>0.487</v>
      </c>
      <c r="D25" s="11">
        <v>-0.399</v>
      </c>
      <c r="E25" s="12"/>
      <c r="F25" s="10">
        <v>23.0</v>
      </c>
      <c r="G25" s="13">
        <v>1.082</v>
      </c>
      <c r="H25" s="13">
        <v>0.594</v>
      </c>
      <c r="I25" s="13">
        <v>-0.466</v>
      </c>
      <c r="J25" s="12"/>
      <c r="K25" s="10">
        <f t="shared" ref="K25:M25" si="36">B25-G25</f>
        <v>-0.142</v>
      </c>
      <c r="L25" s="10">
        <f t="shared" si="36"/>
        <v>-0.107</v>
      </c>
      <c r="M25" s="10">
        <f t="shared" si="36"/>
        <v>0.067</v>
      </c>
      <c r="N25" s="4"/>
      <c r="O25" s="16" t="s">
        <v>23</v>
      </c>
      <c r="P25" s="14">
        <f t="shared" ref="P25:R25" si="37">P11^2</f>
        <v>0.005382285714</v>
      </c>
      <c r="Q25" s="14">
        <f t="shared" si="37"/>
        <v>0.002206979592</v>
      </c>
      <c r="R25" s="14">
        <f t="shared" si="37"/>
        <v>0.0006427036735</v>
      </c>
      <c r="S25" s="4" t="s">
        <v>22</v>
      </c>
      <c r="T25" s="4"/>
      <c r="U25" s="4"/>
      <c r="V25" s="4"/>
      <c r="W25" s="4"/>
      <c r="X25" s="4"/>
    </row>
    <row r="26" ht="15.75" customHeight="1">
      <c r="A26" s="10">
        <v>24.0</v>
      </c>
      <c r="B26" s="11">
        <v>0.953</v>
      </c>
      <c r="C26" s="11">
        <v>0.728</v>
      </c>
      <c r="D26" s="11">
        <v>-0.401</v>
      </c>
      <c r="E26" s="12"/>
      <c r="F26" s="10">
        <v>24.0</v>
      </c>
      <c r="G26" s="13">
        <v>1.151</v>
      </c>
      <c r="H26" s="13">
        <v>0.632</v>
      </c>
      <c r="I26" s="13">
        <v>-0.486</v>
      </c>
      <c r="J26" s="12"/>
      <c r="K26" s="10">
        <f t="shared" ref="K26:M26" si="38">B26-G26</f>
        <v>-0.198</v>
      </c>
      <c r="L26" s="10">
        <f t="shared" si="38"/>
        <v>0.096</v>
      </c>
      <c r="M26" s="10">
        <f t="shared" si="38"/>
        <v>0.085</v>
      </c>
      <c r="N26" s="4"/>
      <c r="O26" s="16" t="s">
        <v>24</v>
      </c>
      <c r="P26" s="14">
        <f t="shared" ref="P26:R26" si="39">SQRT( ((($T$18-1)*P24) + (($U$18-1)*P25))/($T$18+$U$18-2))</f>
        <v>0.1268860657</v>
      </c>
      <c r="Q26" s="14">
        <f t="shared" si="39"/>
        <v>0.06810994114</v>
      </c>
      <c r="R26" s="14">
        <f t="shared" si="39"/>
        <v>0.0430989559</v>
      </c>
      <c r="S26" s="4" t="s">
        <v>25</v>
      </c>
      <c r="T26" s="4"/>
      <c r="U26" s="4"/>
      <c r="V26" s="4"/>
      <c r="W26" s="4"/>
      <c r="X26" s="4"/>
    </row>
    <row r="27" ht="15.75" customHeight="1">
      <c r="A27" s="10">
        <v>25.0</v>
      </c>
      <c r="B27" s="11">
        <v>0.79</v>
      </c>
      <c r="C27" s="11">
        <v>0.542</v>
      </c>
      <c r="D27" s="11">
        <v>-0.363</v>
      </c>
      <c r="E27" s="12"/>
      <c r="F27" s="10">
        <v>25.0</v>
      </c>
      <c r="G27" s="13">
        <v>1.162</v>
      </c>
      <c r="H27" s="13">
        <v>0.65</v>
      </c>
      <c r="I27" s="13">
        <v>-0.512</v>
      </c>
      <c r="J27" s="12"/>
      <c r="K27" s="10">
        <f t="shared" ref="K27:M27" si="40">B27-G27</f>
        <v>-0.372</v>
      </c>
      <c r="L27" s="10">
        <f t="shared" si="40"/>
        <v>-0.108</v>
      </c>
      <c r="M27" s="10">
        <f t="shared" si="40"/>
        <v>0.149</v>
      </c>
      <c r="N27" s="4"/>
      <c r="O27" s="16" t="s">
        <v>26</v>
      </c>
      <c r="P27" s="14">
        <f t="shared" ref="P27:R27" si="41">P26*SQRT(1/50 + 1/50)</f>
        <v>0.02537721314</v>
      </c>
      <c r="Q27" s="14">
        <f t="shared" si="41"/>
        <v>0.01362198823</v>
      </c>
      <c r="R27" s="14">
        <f t="shared" si="41"/>
        <v>0.008619791181</v>
      </c>
      <c r="S27" s="4" t="s">
        <v>27</v>
      </c>
      <c r="T27" s="4"/>
      <c r="U27" s="4"/>
      <c r="V27" s="4"/>
      <c r="W27" s="4"/>
      <c r="X27" s="4"/>
    </row>
    <row r="28" ht="15.75" customHeight="1">
      <c r="A28" s="10">
        <v>26.0</v>
      </c>
      <c r="B28" s="11">
        <v>1.177</v>
      </c>
      <c r="C28" s="11">
        <v>0.615</v>
      </c>
      <c r="D28" s="11">
        <v>-0.441</v>
      </c>
      <c r="E28" s="12"/>
      <c r="F28" s="10">
        <v>26.0</v>
      </c>
      <c r="G28" s="13">
        <v>0.934</v>
      </c>
      <c r="H28" s="13">
        <v>0.599</v>
      </c>
      <c r="I28" s="13">
        <v>-0.439</v>
      </c>
      <c r="J28" s="12"/>
      <c r="K28" s="10">
        <f t="shared" ref="K28:M28" si="42">B28-G28</f>
        <v>0.243</v>
      </c>
      <c r="L28" s="10">
        <f t="shared" si="42"/>
        <v>0.016</v>
      </c>
      <c r="M28" s="10">
        <f t="shared" si="42"/>
        <v>-0.002</v>
      </c>
      <c r="N28" s="4"/>
      <c r="O28" s="16" t="s">
        <v>18</v>
      </c>
      <c r="P28" s="17">
        <f t="shared" ref="P28:R28" si="43">ABS((P3-P10)/P27)</f>
        <v>1.72044108</v>
      </c>
      <c r="Q28" s="17">
        <f t="shared" si="43"/>
        <v>1.195126565</v>
      </c>
      <c r="R28" s="17">
        <f t="shared" si="43"/>
        <v>1.972205549</v>
      </c>
      <c r="S28" s="4" t="s">
        <v>28</v>
      </c>
      <c r="T28" s="4"/>
      <c r="U28" s="4"/>
      <c r="V28" s="4"/>
      <c r="W28" s="4"/>
      <c r="X28" s="4"/>
    </row>
    <row r="29" ht="15.75" customHeight="1">
      <c r="A29" s="10">
        <v>27.0</v>
      </c>
      <c r="B29" s="11">
        <v>1.241</v>
      </c>
      <c r="C29" s="11">
        <v>0.63</v>
      </c>
      <c r="D29" s="11">
        <v>-0.513</v>
      </c>
      <c r="E29" s="12"/>
      <c r="F29" s="10">
        <v>27.0</v>
      </c>
      <c r="G29" s="13">
        <v>1.006</v>
      </c>
      <c r="H29" s="13">
        <v>0.578</v>
      </c>
      <c r="I29" s="13">
        <v>-0.464</v>
      </c>
      <c r="J29" s="12"/>
      <c r="K29" s="10">
        <f t="shared" ref="K29:M29" si="44">B29-G29</f>
        <v>0.235</v>
      </c>
      <c r="L29" s="10">
        <f t="shared" si="44"/>
        <v>0.052</v>
      </c>
      <c r="M29" s="10">
        <f t="shared" si="44"/>
        <v>-0.049</v>
      </c>
      <c r="N29" s="4"/>
      <c r="O29" s="16" t="s">
        <v>29</v>
      </c>
      <c r="P29" s="13">
        <f t="shared" ref="P29:R29" si="45">$T$18+$U$18-2</f>
        <v>98</v>
      </c>
      <c r="Q29" s="13">
        <f t="shared" si="45"/>
        <v>98</v>
      </c>
      <c r="R29" s="13">
        <f t="shared" si="45"/>
        <v>98</v>
      </c>
      <c r="S29" s="4" t="s">
        <v>30</v>
      </c>
      <c r="T29" s="4"/>
      <c r="U29" s="4"/>
      <c r="V29" s="4"/>
      <c r="W29" s="4"/>
      <c r="X29" s="4"/>
    </row>
    <row r="30" ht="15.75" customHeight="1">
      <c r="A30" s="10">
        <v>28.0</v>
      </c>
      <c r="B30" s="11">
        <v>1.074</v>
      </c>
      <c r="C30" s="11">
        <v>0.574</v>
      </c>
      <c r="D30" s="11">
        <v>-0.417</v>
      </c>
      <c r="E30" s="12"/>
      <c r="F30" s="10">
        <v>28.0</v>
      </c>
      <c r="G30" s="13">
        <v>1.084</v>
      </c>
      <c r="H30" s="13">
        <v>0.738</v>
      </c>
      <c r="I30" s="13">
        <v>-0.495</v>
      </c>
      <c r="J30" s="12"/>
      <c r="K30" s="10">
        <f t="shared" ref="K30:M30" si="46">B30-G30</f>
        <v>-0.01</v>
      </c>
      <c r="L30" s="10">
        <f t="shared" si="46"/>
        <v>-0.164</v>
      </c>
      <c r="M30" s="10">
        <f t="shared" si="46"/>
        <v>0.078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10">
        <v>29.0</v>
      </c>
      <c r="B31" s="11">
        <v>0.988</v>
      </c>
      <c r="C31" s="11">
        <v>0.658</v>
      </c>
      <c r="D31" s="11">
        <v>-0.462</v>
      </c>
      <c r="E31" s="12"/>
      <c r="F31" s="10">
        <v>29.0</v>
      </c>
      <c r="G31" s="13">
        <v>1.096</v>
      </c>
      <c r="H31" s="13">
        <v>0.624</v>
      </c>
      <c r="I31" s="13">
        <v>-0.483</v>
      </c>
      <c r="J31" s="12"/>
      <c r="K31" s="10">
        <f t="shared" ref="K31:M31" si="47">B31-G31</f>
        <v>-0.108</v>
      </c>
      <c r="L31" s="10">
        <f t="shared" si="47"/>
        <v>0.034</v>
      </c>
      <c r="M31" s="10">
        <f t="shared" si="47"/>
        <v>0.021</v>
      </c>
      <c r="N31" s="4"/>
      <c r="O31" s="16" t="s">
        <v>31</v>
      </c>
      <c r="P31" s="18">
        <f>2*(1-(_xlfn.T.DIST(ABS(P28), P29, TRUE)))</f>
        <v>0.08850841585</v>
      </c>
      <c r="Q31" s="18">
        <f t="shared" ref="Q31:R31" si="48">2*(1-_xlfn.T.DIST(Q28, Q29, TRUE))</f>
        <v>0.234921766</v>
      </c>
      <c r="R31" s="18">
        <f t="shared" si="48"/>
        <v>0.05140459787</v>
      </c>
      <c r="S31" s="4" t="s">
        <v>32</v>
      </c>
      <c r="T31" s="4"/>
      <c r="U31" s="4"/>
      <c r="V31" s="4"/>
      <c r="W31" s="4"/>
      <c r="X31" s="4"/>
    </row>
    <row r="32" ht="15.75" customHeight="1">
      <c r="A32" s="10">
        <v>30.0</v>
      </c>
      <c r="B32" s="11">
        <v>1.202</v>
      </c>
      <c r="C32" s="11">
        <v>0.67</v>
      </c>
      <c r="D32" s="11">
        <v>-0.506</v>
      </c>
      <c r="E32" s="12"/>
      <c r="F32" s="10">
        <v>30.0</v>
      </c>
      <c r="G32" s="13">
        <v>1.016</v>
      </c>
      <c r="H32" s="13">
        <v>0.674</v>
      </c>
      <c r="I32" s="13">
        <v>-0.442</v>
      </c>
      <c r="J32" s="12"/>
      <c r="K32" s="10">
        <f t="shared" ref="K32:M32" si="49">B32-G32</f>
        <v>0.186</v>
      </c>
      <c r="L32" s="10">
        <f t="shared" si="49"/>
        <v>-0.004</v>
      </c>
      <c r="M32" s="10">
        <f t="shared" si="49"/>
        <v>-0.064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10">
        <v>31.0</v>
      </c>
      <c r="B33" s="11">
        <v>1.065</v>
      </c>
      <c r="C33" s="11">
        <v>0.699</v>
      </c>
      <c r="D33" s="11">
        <v>-0.455</v>
      </c>
      <c r="E33" s="12"/>
      <c r="F33" s="10">
        <v>31.0</v>
      </c>
      <c r="G33" s="13">
        <v>1.131</v>
      </c>
      <c r="H33" s="13">
        <v>0.675</v>
      </c>
      <c r="I33" s="13">
        <v>-0.503</v>
      </c>
      <c r="J33" s="12"/>
      <c r="K33" s="10">
        <f t="shared" ref="K33:M33" si="50">B33-G33</f>
        <v>-0.066</v>
      </c>
      <c r="L33" s="10">
        <f t="shared" si="50"/>
        <v>0.024</v>
      </c>
      <c r="M33" s="10">
        <f t="shared" si="50"/>
        <v>0.048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10">
        <v>32.0</v>
      </c>
      <c r="B34" s="11">
        <v>1.089</v>
      </c>
      <c r="C34" s="11">
        <v>0.792</v>
      </c>
      <c r="D34" s="11">
        <v>-0.439</v>
      </c>
      <c r="E34" s="12"/>
      <c r="F34" s="10">
        <v>32.0</v>
      </c>
      <c r="G34" s="13">
        <v>1.085</v>
      </c>
      <c r="H34" s="13">
        <v>0.602</v>
      </c>
      <c r="I34" s="13">
        <v>-0.48</v>
      </c>
      <c r="J34" s="12"/>
      <c r="K34" s="10">
        <f t="shared" ref="K34:M34" si="51">B34-G34</f>
        <v>0.004</v>
      </c>
      <c r="L34" s="10">
        <f t="shared" si="51"/>
        <v>0.19</v>
      </c>
      <c r="M34" s="10">
        <f t="shared" si="51"/>
        <v>0.041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10">
        <v>33.0</v>
      </c>
      <c r="B35" s="11">
        <v>1.406</v>
      </c>
      <c r="C35" s="11">
        <v>0.714</v>
      </c>
      <c r="D35" s="11">
        <v>-0.587</v>
      </c>
      <c r="E35" s="12"/>
      <c r="F35" s="10">
        <v>33.0</v>
      </c>
      <c r="G35" s="13">
        <v>1.103</v>
      </c>
      <c r="H35" s="13">
        <v>0.677</v>
      </c>
      <c r="I35" s="13">
        <v>-0.507</v>
      </c>
      <c r="J35" s="12"/>
      <c r="K35" s="10">
        <f t="shared" ref="K35:M35" si="52">B35-G35</f>
        <v>0.303</v>
      </c>
      <c r="L35" s="10">
        <f t="shared" si="52"/>
        <v>0.037</v>
      </c>
      <c r="M35" s="10">
        <f t="shared" si="52"/>
        <v>-0.08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10">
        <v>34.0</v>
      </c>
      <c r="B36" s="11">
        <v>0.997</v>
      </c>
      <c r="C36" s="11">
        <v>0.754</v>
      </c>
      <c r="D36" s="11">
        <v>-0.468</v>
      </c>
      <c r="E36" s="12"/>
      <c r="F36" s="10">
        <v>34.0</v>
      </c>
      <c r="G36" s="13">
        <v>1.081</v>
      </c>
      <c r="H36" s="13">
        <v>0.726</v>
      </c>
      <c r="I36" s="13">
        <v>-0.473</v>
      </c>
      <c r="J36" s="12"/>
      <c r="K36" s="10">
        <f t="shared" ref="K36:M36" si="53">B36-G36</f>
        <v>-0.084</v>
      </c>
      <c r="L36" s="10">
        <f t="shared" si="53"/>
        <v>0.028</v>
      </c>
      <c r="M36" s="10">
        <f t="shared" si="53"/>
        <v>0.005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10">
        <v>35.0</v>
      </c>
      <c r="B37" s="11">
        <v>0.967</v>
      </c>
      <c r="C37" s="11">
        <v>0.662</v>
      </c>
      <c r="D37" s="11">
        <v>-0.415</v>
      </c>
      <c r="E37" s="12"/>
      <c r="F37" s="10">
        <v>35.0</v>
      </c>
      <c r="G37" s="13">
        <v>0.854</v>
      </c>
      <c r="H37" s="13">
        <v>0.579</v>
      </c>
      <c r="I37" s="13">
        <v>-0.414</v>
      </c>
      <c r="J37" s="12"/>
      <c r="K37" s="10">
        <f t="shared" ref="K37:M37" si="54">B37-G37</f>
        <v>0.113</v>
      </c>
      <c r="L37" s="10">
        <f t="shared" si="54"/>
        <v>0.083</v>
      </c>
      <c r="M37" s="10">
        <f t="shared" si="54"/>
        <v>-0.001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10">
        <v>36.0</v>
      </c>
      <c r="B38" s="11">
        <v>1.091</v>
      </c>
      <c r="C38" s="11">
        <v>0.582</v>
      </c>
      <c r="D38" s="11">
        <v>-0.513</v>
      </c>
      <c r="E38" s="12"/>
      <c r="F38" s="10">
        <v>36.0</v>
      </c>
      <c r="G38" s="13">
        <v>1.114</v>
      </c>
      <c r="H38" s="13">
        <v>0.68</v>
      </c>
      <c r="I38" s="13">
        <v>-0.463</v>
      </c>
      <c r="J38" s="12"/>
      <c r="K38" s="10">
        <f t="shared" ref="K38:M38" si="55">B38-G38</f>
        <v>-0.023</v>
      </c>
      <c r="L38" s="10">
        <f t="shared" si="55"/>
        <v>-0.098</v>
      </c>
      <c r="M38" s="10">
        <f t="shared" si="55"/>
        <v>-0.05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10">
        <v>37.0</v>
      </c>
      <c r="B39" s="11">
        <v>0.898</v>
      </c>
      <c r="C39" s="11">
        <v>0.616</v>
      </c>
      <c r="D39" s="11">
        <v>-0.472</v>
      </c>
      <c r="E39" s="12"/>
      <c r="F39" s="10">
        <v>37.0</v>
      </c>
      <c r="G39" s="13">
        <v>0.97</v>
      </c>
      <c r="H39" s="13">
        <v>0.629</v>
      </c>
      <c r="I39" s="13">
        <v>-0.433</v>
      </c>
      <c r="J39" s="12"/>
      <c r="K39" s="10">
        <f t="shared" ref="K39:M39" si="56">B39-G39</f>
        <v>-0.072</v>
      </c>
      <c r="L39" s="10">
        <f t="shared" si="56"/>
        <v>-0.013</v>
      </c>
      <c r="M39" s="10">
        <f t="shared" si="56"/>
        <v>-0.039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10">
        <v>38.0</v>
      </c>
      <c r="B40" s="11">
        <v>0.724</v>
      </c>
      <c r="C40" s="11">
        <v>0.545</v>
      </c>
      <c r="D40" s="11">
        <v>-0.366</v>
      </c>
      <c r="E40" s="12"/>
      <c r="F40" s="10">
        <v>38.0</v>
      </c>
      <c r="G40" s="13">
        <v>1.024</v>
      </c>
      <c r="H40" s="13">
        <v>0.621</v>
      </c>
      <c r="I40" s="13">
        <v>-0.48</v>
      </c>
      <c r="J40" s="12"/>
      <c r="K40" s="10">
        <f t="shared" ref="K40:M40" si="57">B40-G40</f>
        <v>-0.3</v>
      </c>
      <c r="L40" s="10">
        <f t="shared" si="57"/>
        <v>-0.076</v>
      </c>
      <c r="M40" s="10">
        <f t="shared" si="57"/>
        <v>0.114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10">
        <v>39.0</v>
      </c>
      <c r="B41" s="11">
        <v>1.088</v>
      </c>
      <c r="C41" s="11">
        <v>0.682</v>
      </c>
      <c r="D41" s="11">
        <v>-0.485</v>
      </c>
      <c r="E41" s="12"/>
      <c r="F41" s="10">
        <v>39.0</v>
      </c>
      <c r="G41" s="13">
        <v>0.949</v>
      </c>
      <c r="H41" s="13">
        <v>0.596</v>
      </c>
      <c r="I41" s="13">
        <v>-0.437</v>
      </c>
      <c r="J41" s="12"/>
      <c r="K41" s="10">
        <f t="shared" ref="K41:M41" si="58">B41-G41</f>
        <v>0.139</v>
      </c>
      <c r="L41" s="10">
        <f t="shared" si="58"/>
        <v>0.086</v>
      </c>
      <c r="M41" s="10">
        <f t="shared" si="58"/>
        <v>-0.048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10">
        <v>40.0</v>
      </c>
      <c r="B42" s="11">
        <v>0.74</v>
      </c>
      <c r="C42" s="11">
        <v>0.662</v>
      </c>
      <c r="D42" s="11">
        <v>-0.372</v>
      </c>
      <c r="E42" s="12"/>
      <c r="F42" s="10">
        <v>40.0</v>
      </c>
      <c r="G42" s="13">
        <v>1.091</v>
      </c>
      <c r="H42" s="13">
        <v>0.764</v>
      </c>
      <c r="I42" s="13">
        <v>-0.483</v>
      </c>
      <c r="J42" s="12"/>
      <c r="K42" s="10">
        <f t="shared" ref="K42:M42" si="59">B42-G42</f>
        <v>-0.351</v>
      </c>
      <c r="L42" s="10">
        <f t="shared" si="59"/>
        <v>-0.102</v>
      </c>
      <c r="M42" s="10">
        <f t="shared" si="59"/>
        <v>0.111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10">
        <v>41.0</v>
      </c>
      <c r="B43" s="11">
        <v>0.782</v>
      </c>
      <c r="C43" s="11">
        <v>0.673</v>
      </c>
      <c r="D43" s="11">
        <v>-0.361</v>
      </c>
      <c r="E43" s="12"/>
      <c r="F43" s="10">
        <v>41.0</v>
      </c>
      <c r="G43" s="13">
        <v>1.174</v>
      </c>
      <c r="H43" s="13">
        <v>0.702</v>
      </c>
      <c r="I43" s="13">
        <v>-0.518</v>
      </c>
      <c r="J43" s="12"/>
      <c r="K43" s="10">
        <f t="shared" ref="K43:M43" si="60">B43-G43</f>
        <v>-0.392</v>
      </c>
      <c r="L43" s="10">
        <f t="shared" si="60"/>
        <v>-0.029</v>
      </c>
      <c r="M43" s="10">
        <f t="shared" si="60"/>
        <v>0.157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10">
        <v>42.0</v>
      </c>
      <c r="B44" s="11">
        <v>0.837</v>
      </c>
      <c r="C44" s="11">
        <v>0.532</v>
      </c>
      <c r="D44" s="11">
        <v>-0.382</v>
      </c>
      <c r="E44" s="12"/>
      <c r="F44" s="10">
        <v>42.0</v>
      </c>
      <c r="G44" s="13">
        <v>0.981</v>
      </c>
      <c r="H44" s="13">
        <v>0.621</v>
      </c>
      <c r="I44" s="13">
        <v>-0.409</v>
      </c>
      <c r="J44" s="12"/>
      <c r="K44" s="10">
        <f t="shared" ref="K44:M44" si="61">B44-G44</f>
        <v>-0.144</v>
      </c>
      <c r="L44" s="10">
        <f t="shared" si="61"/>
        <v>-0.089</v>
      </c>
      <c r="M44" s="10">
        <f t="shared" si="61"/>
        <v>0.027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10">
        <v>43.0</v>
      </c>
      <c r="B45" s="11">
        <v>0.985</v>
      </c>
      <c r="C45" s="11">
        <v>0.644</v>
      </c>
      <c r="D45" s="11">
        <v>-0.448</v>
      </c>
      <c r="E45" s="12"/>
      <c r="F45" s="10">
        <v>43.0</v>
      </c>
      <c r="G45" s="13">
        <v>1.009</v>
      </c>
      <c r="H45" s="13">
        <v>0.605</v>
      </c>
      <c r="I45" s="13">
        <v>-0.455</v>
      </c>
      <c r="J45" s="12"/>
      <c r="K45" s="10">
        <f t="shared" ref="K45:M45" si="62">B45-G45</f>
        <v>-0.024</v>
      </c>
      <c r="L45" s="10">
        <f t="shared" si="62"/>
        <v>0.039</v>
      </c>
      <c r="M45" s="10">
        <f t="shared" si="62"/>
        <v>0.007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10">
        <v>44.0</v>
      </c>
      <c r="B46" s="11">
        <v>1.103</v>
      </c>
      <c r="C46" s="11">
        <v>0.697</v>
      </c>
      <c r="D46" s="11">
        <v>-0.488</v>
      </c>
      <c r="E46" s="12"/>
      <c r="F46" s="10">
        <v>44.0</v>
      </c>
      <c r="G46" s="13">
        <v>0.978</v>
      </c>
      <c r="H46" s="13">
        <v>0.609</v>
      </c>
      <c r="I46" s="13">
        <v>-0.428</v>
      </c>
      <c r="J46" s="12"/>
      <c r="K46" s="10">
        <f t="shared" ref="K46:M46" si="63">B46-G46</f>
        <v>0.125</v>
      </c>
      <c r="L46" s="10">
        <f t="shared" si="63"/>
        <v>0.088</v>
      </c>
      <c r="M46" s="10">
        <f t="shared" si="63"/>
        <v>-0.06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10">
        <v>45.0</v>
      </c>
      <c r="B47" s="11">
        <v>0.978</v>
      </c>
      <c r="C47" s="11">
        <v>0.837</v>
      </c>
      <c r="D47" s="11">
        <v>-0.455</v>
      </c>
      <c r="E47" s="12"/>
      <c r="F47" s="10">
        <v>45.0</v>
      </c>
      <c r="G47" s="13">
        <v>1.034</v>
      </c>
      <c r="H47" s="13">
        <v>0.644</v>
      </c>
      <c r="I47" s="13">
        <v>-0.465</v>
      </c>
      <c r="J47" s="12"/>
      <c r="K47" s="10">
        <f t="shared" ref="K47:M47" si="64">B47-G47</f>
        <v>-0.056</v>
      </c>
      <c r="L47" s="10">
        <f t="shared" si="64"/>
        <v>0.193</v>
      </c>
      <c r="M47" s="10">
        <f t="shared" si="64"/>
        <v>0.01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10">
        <v>46.0</v>
      </c>
      <c r="B48" s="11">
        <v>0.831</v>
      </c>
      <c r="C48" s="11">
        <v>0.623</v>
      </c>
      <c r="D48" s="11">
        <v>-0.422</v>
      </c>
      <c r="E48" s="12"/>
      <c r="F48" s="10">
        <v>46.0</v>
      </c>
      <c r="G48" s="13">
        <v>1.096</v>
      </c>
      <c r="H48" s="13">
        <v>0.616</v>
      </c>
      <c r="I48" s="13">
        <v>-0.48</v>
      </c>
      <c r="J48" s="12"/>
      <c r="K48" s="10">
        <f t="shared" ref="K48:M48" si="65">B48-G48</f>
        <v>-0.265</v>
      </c>
      <c r="L48" s="10">
        <f t="shared" si="65"/>
        <v>0.007</v>
      </c>
      <c r="M48" s="10">
        <f t="shared" si="65"/>
        <v>0.058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10">
        <v>47.0</v>
      </c>
      <c r="B49" s="11">
        <v>1.158</v>
      </c>
      <c r="C49" s="11">
        <v>0.583</v>
      </c>
      <c r="D49" s="11">
        <v>-0.536</v>
      </c>
      <c r="E49" s="12"/>
      <c r="F49" s="10">
        <v>47.0</v>
      </c>
      <c r="G49" s="13">
        <v>1.022</v>
      </c>
      <c r="H49" s="13">
        <v>0.675</v>
      </c>
      <c r="I49" s="13">
        <v>-0.434</v>
      </c>
      <c r="J49" s="12"/>
      <c r="K49" s="10">
        <f t="shared" ref="K49:M49" si="66">B49-G49</f>
        <v>0.136</v>
      </c>
      <c r="L49" s="10">
        <f t="shared" si="66"/>
        <v>-0.092</v>
      </c>
      <c r="M49" s="10">
        <f t="shared" si="66"/>
        <v>-0.102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10">
        <v>48.0</v>
      </c>
      <c r="B50" s="11">
        <v>0.962</v>
      </c>
      <c r="C50" s="11">
        <v>0.598</v>
      </c>
      <c r="D50" s="11">
        <v>-0.424</v>
      </c>
      <c r="E50" s="12"/>
      <c r="F50" s="10">
        <v>48.0</v>
      </c>
      <c r="G50" s="13">
        <v>1.141</v>
      </c>
      <c r="H50" s="13">
        <v>0.699</v>
      </c>
      <c r="I50" s="13">
        <v>-0.495</v>
      </c>
      <c r="J50" s="12"/>
      <c r="K50" s="10">
        <f t="shared" ref="K50:M50" si="67">B50-G50</f>
        <v>-0.179</v>
      </c>
      <c r="L50" s="10">
        <f t="shared" si="67"/>
        <v>-0.101</v>
      </c>
      <c r="M50" s="10">
        <f t="shared" si="67"/>
        <v>0.071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10">
        <v>49.0</v>
      </c>
      <c r="B51" s="11">
        <v>1.008</v>
      </c>
      <c r="C51" s="11">
        <v>0.649</v>
      </c>
      <c r="D51" s="11">
        <v>-0.445</v>
      </c>
      <c r="E51" s="12"/>
      <c r="F51" s="10">
        <v>49.0</v>
      </c>
      <c r="G51" s="13">
        <v>0.911</v>
      </c>
      <c r="H51" s="13">
        <v>0.653</v>
      </c>
      <c r="I51" s="13">
        <v>-0.431</v>
      </c>
      <c r="J51" s="12"/>
      <c r="K51" s="10">
        <f t="shared" ref="K51:M51" si="68">B51-G51</f>
        <v>0.097</v>
      </c>
      <c r="L51" s="10">
        <f t="shared" si="68"/>
        <v>-0.004</v>
      </c>
      <c r="M51" s="10">
        <f t="shared" si="68"/>
        <v>-0.014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10">
        <v>50.0</v>
      </c>
      <c r="B52" s="11">
        <v>1.03</v>
      </c>
      <c r="C52" s="11">
        <v>0.621</v>
      </c>
      <c r="D52" s="11">
        <v>-0.457</v>
      </c>
      <c r="E52" s="12"/>
      <c r="F52" s="10">
        <v>50.0</v>
      </c>
      <c r="G52" s="13">
        <v>1.019</v>
      </c>
      <c r="H52" s="13">
        <v>0.726</v>
      </c>
      <c r="I52" s="13">
        <v>-0.463</v>
      </c>
      <c r="J52" s="12"/>
      <c r="K52" s="10">
        <f t="shared" ref="K52:M52" si="69">B52-G52</f>
        <v>0.011</v>
      </c>
      <c r="L52" s="10">
        <f t="shared" si="69"/>
        <v>-0.105</v>
      </c>
      <c r="M52" s="10">
        <f t="shared" si="69"/>
        <v>0.006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8">
    <mergeCell ref="A1:D1"/>
    <mergeCell ref="F1:I1"/>
    <mergeCell ref="K1:M1"/>
    <mergeCell ref="O1:R1"/>
    <mergeCell ref="V1:W1"/>
    <mergeCell ref="O8:R8"/>
    <mergeCell ref="O15:R15"/>
    <mergeCell ref="O21:R2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2025-09-16T12:53:30Z</dcterms:created>
  <dc:creator>openpyxl</dc:creator>
</cp:coreProperties>
</file>